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s" sheetId="1" state="visible" r:id="rId1"/>
    <sheet xmlns:r="http://schemas.openxmlformats.org/officeDocument/2006/relationships" name="Infra without HA" sheetId="2" state="visible" r:id="rId2"/>
    <sheet xmlns:r="http://schemas.openxmlformats.org/officeDocument/2006/relationships" name="Infra with High Availability" sheetId="3" state="visible" r:id="rId3"/>
    <sheet xmlns:r="http://schemas.openxmlformats.org/officeDocument/2006/relationships" name="Deployables" sheetId="4" state="visible" r:id="rId4"/>
    <sheet xmlns:r="http://schemas.openxmlformats.org/officeDocument/2006/relationships" name="Netwo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3056"/>
      </patternFill>
    </fill>
    <fill>
      <patternFill patternType="solid">
        <fgColor rgb="00DCE6F5"/>
      </patternFill>
    </fill>
    <fill>
      <patternFill patternType="solid">
        <fgColor rgb="00FFF3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right"/>
    </xf>
    <xf numFmtId="3" fontId="4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4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8" customWidth="1" min="4" max="4"/>
    <col width="11" customWidth="1" min="5" max="5"/>
    <col width="46" customWidth="1" min="6" max="6"/>
    <col width="6" customWidth="1" min="7" max="7"/>
    <col width="14" customWidth="1" min="8" max="8"/>
    <col width="16" customWidth="1" min="9" max="9"/>
  </cols>
  <sheetData>
    <row r="1">
      <c r="A1" s="1" t="inlineStr">
        <is>
          <t>TICVAI - Azure cloud specs and cost, staged (Stage 1 launch; Stage 2 = the full cell sheets)</t>
        </is>
      </c>
    </row>
    <row r="3">
      <c r="B3" t="inlineStr">
        <is>
          <t>AED per USD</t>
        </is>
      </c>
      <c r="C3" t="n">
        <v>3.6725</v>
      </c>
      <c r="D3" t="inlineStr">
        <is>
          <t>Edit the rate, the margin and any unit price; every total is a formula.</t>
        </is>
      </c>
    </row>
    <row r="4">
      <c r="B4" t="inlineStr">
        <is>
          <t>Margin</t>
        </is>
      </c>
      <c r="C4" s="2" t="n">
        <v>0.2</v>
      </c>
      <c r="D4" t="inlineStr">
        <is>
          <t>Prices: per line, the workbook's own unit price or the Azure Retail Prices API read on 4 October 2026.</t>
        </is>
      </c>
    </row>
    <row r="6">
      <c r="A6" s="3" t="inlineStr">
        <is>
          <t>Environment</t>
        </is>
      </c>
      <c r="B6" s="3" t="inlineStr">
        <is>
          <t>Group</t>
        </is>
      </c>
      <c r="C6" s="3" t="inlineStr">
        <is>
          <t>Azure service type</t>
        </is>
      </c>
      <c r="D6" s="3" t="inlineStr">
        <is>
          <t>Service description</t>
        </is>
      </c>
      <c r="E6" s="3" t="inlineStr">
        <is>
          <t>Region</t>
        </is>
      </c>
      <c r="F6" s="3" t="inlineStr">
        <is>
          <t>Specs description</t>
        </is>
      </c>
      <c r="G6" s="3" t="inlineStr">
        <is>
          <t>Qty</t>
        </is>
      </c>
      <c r="H6" s="3" t="inlineStr">
        <is>
          <t>Unit price (USD / month)</t>
        </is>
      </c>
      <c r="I6" s="3" t="inlineStr">
        <is>
          <t>Estimated monthly cost (USD)</t>
        </is>
      </c>
    </row>
    <row r="7">
      <c r="A7" s="4" t="inlineStr">
        <is>
          <t>Stage 1 production (launch)</t>
        </is>
      </c>
      <c r="B7" s="5" t="inlineStr">
        <is>
          <t>Compute (AKS)</t>
        </is>
      </c>
      <c r="C7" s="5" t="inlineStr">
        <is>
          <t>Azure Kubernetes Service</t>
        </is>
      </c>
      <c r="D7" s="5" t="inlineStr">
        <is>
          <t>Control plane, Free tier</t>
        </is>
      </c>
      <c r="E7" s="5" t="inlineStr">
        <is>
          <t>UAE North</t>
        </is>
      </c>
      <c r="F7" s="5" t="inlineStr">
        <is>
          <t>No uptime SLA at launch; Standard tier ($73) from Stage 2. Workbook (pre-production line)</t>
        </is>
      </c>
      <c r="G7" s="5" t="n">
        <v>1</v>
      </c>
      <c r="H7" s="6" t="n">
        <v>0</v>
      </c>
      <c r="I7" s="7">
        <f>G7*H7</f>
        <v/>
      </c>
    </row>
    <row r="8">
      <c r="A8" s="8" t="n"/>
      <c r="B8" s="5" t="inlineStr">
        <is>
          <t>Compute (AKS)</t>
        </is>
      </c>
      <c r="C8" s="5" t="inlineStr">
        <is>
          <t>Virtual Machines (AKS nodes)</t>
        </is>
      </c>
      <c r="D8" s="5" t="inlineStr">
        <is>
          <t>Two nodes running every deployable, Redis, Qdrant and the broker in-cluster</t>
        </is>
      </c>
      <c r="E8" s="5" t="inlineStr">
        <is>
          <t>UAE North</t>
        </is>
      </c>
      <c r="F8" s="5" t="inlineStr">
        <is>
          <t>D8s v5 (8 vCPU, 32 GB), Linux, one per zone. The same images and Helm chart as the cell; one replica per deployable across the two nodes (ADR-0061 as amended 4 October: the floors apply from Stage 2). Workbook</t>
        </is>
      </c>
      <c r="G8" s="5" t="n">
        <v>2</v>
      </c>
      <c r="H8" s="6" t="n">
        <v>350</v>
      </c>
      <c r="I8" s="7">
        <f>G8*H8</f>
        <v/>
      </c>
    </row>
    <row r="9">
      <c r="A9" s="8" t="n"/>
      <c r="B9" s="5" t="inlineStr">
        <is>
          <t>Vector store</t>
        </is>
      </c>
      <c r="C9" s="5" t="inlineStr">
        <is>
          <t>Managed Disks</t>
        </is>
      </c>
      <c r="D9" s="5" t="inlineStr">
        <is>
          <t>Qdrant storage (single in-cluster node)</t>
        </is>
      </c>
      <c r="E9" s="5" t="inlineStr">
        <is>
          <t>UAE North</t>
        </is>
      </c>
      <c r="F9" s="5" t="inlineStr">
        <is>
          <t>Premium SSD P15 256 GB. Workbook</t>
        </is>
      </c>
      <c r="G9" s="5" t="n">
        <v>1</v>
      </c>
      <c r="H9" s="6" t="n">
        <v>38</v>
      </c>
      <c r="I9" s="7">
        <f>G9*H9</f>
        <v/>
      </c>
    </row>
    <row r="10">
      <c r="A10" s="8" t="n"/>
      <c r="B10" s="5" t="inlineStr">
        <is>
          <t>Event broker</t>
        </is>
      </c>
      <c r="C10" s="5" t="inlineStr">
        <is>
          <t>Managed Disks</t>
        </is>
      </c>
      <c r="D10" s="5" t="inlineStr">
        <is>
          <t>Broker storage (RabbitMQ single in-cluster node)</t>
        </is>
      </c>
      <c r="E10" s="5" t="inlineStr">
        <is>
          <t>UAE North</t>
        </is>
      </c>
      <c r="F10" s="5" t="inlineStr">
        <is>
          <t>Premium SSD P10 128 GB. Workbook</t>
        </is>
      </c>
      <c r="G10" s="5" t="n">
        <v>1</v>
      </c>
      <c r="H10" s="6" t="n">
        <v>21.5</v>
      </c>
      <c r="I10" s="7">
        <f>G10*H10</f>
        <v/>
      </c>
    </row>
    <row r="11">
      <c r="A11" s="8" t="n"/>
      <c r="B11" s="5" t="inlineStr">
        <is>
          <t>Cache</t>
        </is>
      </c>
      <c r="C11" s="5" t="inlineStr">
        <is>
          <t>Managed Disks</t>
        </is>
      </c>
      <c r="D11" s="5" t="inlineStr">
        <is>
          <t>Redis persistence (single in-cluster node, append-only file)</t>
        </is>
      </c>
      <c r="E11" s="5" t="inlineStr">
        <is>
          <t>UAE North</t>
        </is>
      </c>
      <c r="F11" s="5" t="inlineStr">
        <is>
          <t>Premium SSD P10 128 GB. Workbook (the broker disk's price)</t>
        </is>
      </c>
      <c r="G11" s="5" t="n">
        <v>1</v>
      </c>
      <c r="H11" s="6" t="n">
        <v>21.5</v>
      </c>
      <c r="I11" s="7">
        <f>G11*H11</f>
        <v/>
      </c>
    </row>
    <row r="12">
      <c r="A12" s="8" t="n"/>
      <c r="B12" s="5" t="inlineStr">
        <is>
          <t>Network</t>
        </is>
      </c>
      <c r="C12" s="5" t="inlineStr">
        <is>
          <t>Load Balancer</t>
        </is>
      </c>
      <c r="D12" s="5" t="inlineStr">
        <is>
          <t>Standard load balancer in front of the ingress; its outbound rule carries the static egress IP</t>
        </is>
      </c>
      <c r="E12" s="5" t="inlineStr">
        <is>
          <t>UAE North</t>
        </is>
      </c>
      <c r="F12" s="5" t="inlineStr">
        <is>
          <t>First 5 rules $0.025/h ($18.25) + about 1 TB processed at $0.005/GB ($5). Retail API, 4 Oct</t>
        </is>
      </c>
      <c r="G12" s="5" t="n">
        <v>1</v>
      </c>
      <c r="H12" s="6" t="n">
        <v>23.25</v>
      </c>
      <c r="I12" s="7">
        <f>G12*H12</f>
        <v/>
      </c>
    </row>
    <row r="13">
      <c r="A13" s="8" t="n"/>
      <c r="B13" s="5" t="inlineStr">
        <is>
          <t>Network</t>
        </is>
      </c>
      <c r="C13" s="5" t="inlineStr">
        <is>
          <t>Public IP</t>
        </is>
      </c>
      <c r="D13" s="5" t="inlineStr">
        <is>
          <t>One static egress IP for the payment, e-invoicing and messaging allow-lists</t>
        </is>
      </c>
      <c r="E13" s="5" t="inlineStr">
        <is>
          <t>UAE North</t>
        </is>
      </c>
      <c r="F13" s="5" t="inlineStr">
        <is>
          <t>Standard IPv4 static, $0.005/h, on the load balancer's outbound rule (the NAT Gateway, $80, from Stage 2). Retail API, 4 Oct</t>
        </is>
      </c>
      <c r="G13" s="5" t="n">
        <v>1</v>
      </c>
      <c r="H13" s="6" t="n">
        <v>3.65</v>
      </c>
      <c r="I13" s="7">
        <f>G13*H13</f>
        <v/>
      </c>
    </row>
    <row r="14">
      <c r="A14" s="8" t="n"/>
      <c r="B14" s="5" t="inlineStr">
        <is>
          <t>Database</t>
        </is>
      </c>
      <c r="C14" s="5" t="inlineStr">
        <is>
          <t>Azure Database for PostgreSQL</t>
        </is>
      </c>
      <c r="D14" s="5" t="inlineStr">
        <is>
          <t>Primary with zone-redundant standby: control DB + DB per tenant</t>
        </is>
      </c>
      <c r="E14" s="5" t="inlineStr">
        <is>
          <t>UAE North</t>
        </is>
      </c>
      <c r="F14" s="5" t="inlineStr">
        <is>
          <t>Flexible Server 16, General Purpose D4ds v5 (4 vCore, 16 GB) x2 (primary + standby in another zone): ADR-0060 holds at every stage. No read or reporting replica at launch. Workbook</t>
        </is>
      </c>
      <c r="G14" s="5" t="n">
        <v>2</v>
      </c>
      <c r="H14" s="6" t="n">
        <v>320</v>
      </c>
      <c r="I14" s="7">
        <f>G14*H14</f>
        <v/>
      </c>
    </row>
    <row r="15">
      <c r="A15" s="8" t="n"/>
      <c r="B15" s="5" t="inlineStr">
        <is>
          <t>Database</t>
        </is>
      </c>
      <c r="C15" s="5" t="inlineStr">
        <is>
          <t>Azure Database for PostgreSQL</t>
        </is>
      </c>
      <c r="D15" s="5" t="inlineStr">
        <is>
          <t>Storage, primary and standby</t>
        </is>
      </c>
      <c r="E15" s="5" t="inlineStr">
        <is>
          <t>UAE North</t>
        </is>
      </c>
      <c r="F15" s="5" t="inlineStr">
        <is>
          <t>256 GB Premium SSD each; PITR backup 35 days. Workbook</t>
        </is>
      </c>
      <c r="G15" s="5" t="n">
        <v>2</v>
      </c>
      <c r="H15" s="6" t="n">
        <v>36</v>
      </c>
      <c r="I15" s="7">
        <f>G15*H15</f>
        <v/>
      </c>
    </row>
    <row r="16">
      <c r="A16" s="8" t="n"/>
      <c r="B16" s="5" t="inlineStr">
        <is>
          <t>AI</t>
        </is>
      </c>
      <c r="C16" s="5" t="inlineStr">
        <is>
          <t>Virtual Machines (AKS nodes)</t>
        </is>
      </c>
      <c r="D16" s="5" t="inlineStr">
        <is>
          <t>AI GPU node: ticvai-ai, Presidio, the Arabic NER, BGE-M3 and its reranker (CHG-R11-001)</t>
        </is>
      </c>
      <c r="E16" s="5" t="inlineStr">
        <is>
          <t>UAE North</t>
        </is>
      </c>
      <c r="F16" s="5" t="inlineStr">
        <is>
          <t>NV6ads A10 v5 (6 vCPU, 55 GB, 1/6 A10 with 4 GB), tainted, one node; the AI log tables live in the main PostgreSQL server at launch. $0.649/h. Retail API, 4 Oct</t>
        </is>
      </c>
      <c r="G16" s="5" t="n">
        <v>1</v>
      </c>
      <c r="H16" s="6" t="n">
        <v>473.77</v>
      </c>
      <c r="I16" s="7">
        <f>G16*H16</f>
        <v/>
      </c>
    </row>
    <row r="17">
      <c r="A17" s="8" t="n"/>
      <c r="B17" s="5" t="inlineStr">
        <is>
          <t>Storage</t>
        </is>
      </c>
      <c r="C17" s="5" t="inlineStr">
        <is>
          <t>Storage account (Blob, LRS)</t>
        </is>
      </c>
      <c r="D17" s="5" t="inlineStr">
        <is>
          <t>Media (including venue 3D models), exports, snapshots, dumps</t>
        </is>
      </c>
      <c r="E17" s="5" t="inlineStr">
        <is>
          <t>UAE North</t>
        </is>
      </c>
      <c r="F17" s="5" t="inlineStr">
        <is>
          <t>Hot tier, 2 TB, UAE North only. Workbook</t>
        </is>
      </c>
      <c r="G17" s="5" t="n">
        <v>1</v>
      </c>
      <c r="H17" s="6" t="n">
        <v>45</v>
      </c>
      <c r="I17" s="7">
        <f>G17*H17</f>
        <v/>
      </c>
    </row>
    <row r="18">
      <c r="A18" s="8" t="n"/>
      <c r="B18" s="5" t="inlineStr">
        <is>
          <t>Storage</t>
        </is>
      </c>
      <c r="C18" s="5" t="inlineStr">
        <is>
          <t>Container Registry</t>
        </is>
      </c>
      <c r="D18" s="5" t="inlineStr">
        <is>
          <t>Images for the five deployables</t>
        </is>
      </c>
      <c r="E18" s="5" t="inlineStr">
        <is>
          <t>UAE North</t>
        </is>
      </c>
      <c r="F18" s="5" t="inlineStr">
        <is>
          <t>Standard. Workbook</t>
        </is>
      </c>
      <c r="G18" s="5" t="n">
        <v>1</v>
      </c>
      <c r="H18" s="6" t="n">
        <v>20</v>
      </c>
      <c r="I18" s="7">
        <f>G18*H18</f>
        <v/>
      </c>
    </row>
    <row r="19">
      <c r="A19" s="8" t="n"/>
      <c r="B19" s="5" t="inlineStr">
        <is>
          <t>Security</t>
        </is>
      </c>
      <c r="C19" s="5" t="inlineStr">
        <is>
          <t>Key Vault</t>
        </is>
      </c>
      <c r="D19" s="5" t="inlineStr">
        <is>
          <t>Secrets and per-tenant keys</t>
        </is>
      </c>
      <c r="E19" s="5" t="inlineStr">
        <is>
          <t>UAE North</t>
        </is>
      </c>
      <c r="F19" s="5" t="inlineStr">
        <is>
          <t>Standard. Workbook</t>
        </is>
      </c>
      <c r="G19" s="5" t="n">
        <v>1</v>
      </c>
      <c r="H19" s="6" t="n">
        <v>5</v>
      </c>
      <c r="I19" s="7">
        <f>G19*H19</f>
        <v/>
      </c>
    </row>
    <row r="20">
      <c r="A20" s="8" t="n"/>
      <c r="B20" s="5" t="inlineStr">
        <is>
          <t>Network</t>
        </is>
      </c>
      <c r="C20" s="5" t="inlineStr">
        <is>
          <t>Azure Front Door</t>
        </is>
      </c>
      <c r="D20" s="5" t="inlineStr">
        <is>
          <t>TLS and WAF entry for web, apps and APIs, sized for launch</t>
        </is>
      </c>
      <c r="E20" s="5" t="inlineStr">
        <is>
          <t>Global</t>
        </is>
      </c>
      <c r="F20" s="5" t="inlineStr">
        <is>
          <t>Standard (not Premium): base $35 + 500 GB edge-to-client in zone 7 at $0.11/GB ($55) + about 10 million requests at $0.0108 per 10,000 ($10.80). Custom WAF and rate rules only; the managed OWASP and bot rule sets and the Private Link origin need Premium (Stage 2). Retail API, 4 Oct</t>
        </is>
      </c>
      <c r="G20" s="5" t="n">
        <v>1</v>
      </c>
      <c r="H20" s="6" t="n">
        <v>100.8</v>
      </c>
      <c r="I20" s="7">
        <f>G20*H20</f>
        <v/>
      </c>
    </row>
    <row r="21">
      <c r="A21" s="8" t="n"/>
      <c r="B21" s="5" t="inlineStr">
        <is>
          <t>Network</t>
        </is>
      </c>
      <c r="C21" s="5" t="inlineStr">
        <is>
          <t>Bandwidth</t>
        </is>
      </c>
      <c r="D21" s="5" t="inlineStr">
        <is>
          <t>Egress to the providers</t>
        </is>
      </c>
      <c r="E21" s="5" t="inlineStr">
        <is>
          <t>UAE North</t>
        </is>
      </c>
      <c r="F21" s="5" t="inlineStr">
        <is>
          <t>First 100 GB free, then $0.181/GB. Workbook</t>
        </is>
      </c>
      <c r="G21" s="5" t="n">
        <v>1</v>
      </c>
      <c r="H21" s="6" t="n">
        <v>20</v>
      </c>
      <c r="I21" s="7">
        <f>G21*H21</f>
        <v/>
      </c>
    </row>
    <row r="22">
      <c r="A22" s="8" t="n"/>
      <c r="B22" s="5" t="inlineStr">
        <is>
          <t>Operations</t>
        </is>
      </c>
      <c r="C22" s="5" t="inlineStr">
        <is>
          <t>Azure Monitor / Log Analytics</t>
        </is>
      </c>
      <c r="D22" s="5" t="inlineStr">
        <is>
          <t>Logs, metrics, alerts at launch volume</t>
        </is>
      </c>
      <c r="E22" s="5" t="inlineStr">
        <is>
          <t>UAE North</t>
        </is>
      </c>
      <c r="F22" s="5" t="inlineStr">
        <is>
          <t>About 20 GB ingested a month. Workbook (the pre-production rate)</t>
        </is>
      </c>
      <c r="G22" s="5" t="n">
        <v>1</v>
      </c>
      <c r="H22" s="6" t="n">
        <v>70</v>
      </c>
      <c r="I22" s="7">
        <f>G22*H22</f>
        <v/>
      </c>
    </row>
    <row r="23">
      <c r="A23" s="9" t="n"/>
      <c r="B23" s="5" t="inlineStr">
        <is>
          <t>AI (usage)</t>
        </is>
      </c>
      <c r="C23" s="5" t="inlineStr">
        <is>
          <t>LLM providers</t>
        </is>
      </c>
      <c r="D23" s="5" t="inlineStr">
        <is>
          <t>Language model calls (re-billed per token, AI-D02)</t>
        </is>
      </c>
      <c r="E23" s="5" t="inlineStr">
        <is>
          <t>UAE North</t>
        </is>
      </c>
      <c r="F23" s="5" t="inlineStr">
        <is>
          <t>Usage-based</t>
        </is>
      </c>
      <c r="G23" s="5" t="n">
        <v>1</v>
      </c>
      <c r="H23" s="6" t="n">
        <v>0</v>
      </c>
      <c r="I23" s="7">
        <f>G23*H23</f>
        <v/>
      </c>
    </row>
    <row r="24">
      <c r="F24" s="10" t="inlineStr">
        <is>
          <t>USD - Total cost per month</t>
        </is>
      </c>
      <c r="I24" s="11">
        <f>SUM(I7:I23)</f>
        <v/>
      </c>
    </row>
    <row r="25">
      <c r="F25" s="10" t="inlineStr">
        <is>
          <t>AED - Total cost per month</t>
        </is>
      </c>
      <c r="I25" s="11">
        <f>I24*$C$3</f>
        <v/>
      </c>
    </row>
    <row r="26">
      <c r="F26" s="10" t="inlineStr">
        <is>
          <t>AED - Total cost per year</t>
        </is>
      </c>
      <c r="I26" s="11">
        <f>I25*12</f>
        <v/>
      </c>
    </row>
    <row r="27">
      <c r="F27" s="10" t="inlineStr">
        <is>
          <t>AED - Total price per year with margin</t>
        </is>
      </c>
      <c r="I27" s="11">
        <f>I26*(1+$C$4)</f>
        <v/>
      </c>
    </row>
    <row r="29">
      <c r="B29" s="12" t="inlineStr">
        <is>
          <t>Notes - Stage 1 production (launch)</t>
        </is>
      </c>
    </row>
    <row r="30" ht="32" customHeight="1">
      <c r="B30" s="13" t="inlineStr">
        <is>
          <t>Staged (Chinmay, 4 October 2026, CHG-R11-003: "Staged: start ~$1.9k"): launch on Stage 1, move to Stage 2 (the full cell on the other two sheets: $5,327.27 a month without zone-level HA, $8,295.04 with it) when the first trigger below fires. His ~$1.9k was the servers, PostgreSQL and the GPU node alone ($1,885.77 here); the rest of the launch platform brings Stage 1 production to the total above.</t>
        </is>
      </c>
    </row>
    <row r="31" ht="32" customHeight="1">
      <c r="B31" s="13" t="inlineStr">
        <is>
          <t>Move to Stage 2 when any of these holds: a paying venue needs the availability targets of ADR-0060 (99.95% for cloud commerce; Stage 1 runs one replica per deployable, so a node or zone loss is an outage until it reschedules); traffic beyond Stage 1 capacity is sustained (CPU above about 70% on both nodes at the daily peak for a week, or the GPU node at its CPU or memory limit); a large on-sale is booked; or a client needs Premium WAF (managed OWASP and bot rules) or a private origin.</t>
        </is>
      </c>
    </row>
    <row r="32" ht="32" customHeight="1">
      <c r="B32" s="13" t="inlineStr">
        <is>
          <t>ADR-0061's replica floors apply from Stage 2; at Stage 1 they are relaxed to one replica per deployable across the two nodes (ADR-0061, amended 4 October). PostgreSQL keeps its zone-redundant standby at every stage (ADR-0060).</t>
        </is>
      </c>
    </row>
    <row r="33" ht="32" customHeight="1">
      <c r="B33" s="13" t="inlineStr">
        <is>
          <t>Not included at Stage 1: Defender for Cloud (about $150-200 at this size if taken), Azure Bastion, Private Link, a NAT Gateway, Azure Managed Redis, the AI log server, read and reporting replicas: each comes with Stage 2. LLM tokens, SMS, email, payment and e-invoicing fees are usage, not hosting.</t>
        </is>
      </c>
    </row>
    <row r="34" ht="32" customHeight="1">
      <c r="B34" s="13" t="inlineStr">
        <is>
          <t>Stage 0 is a reference line only (one server and the GPU node, no PostgreSQL service, no redundancy): it is not the plan.</t>
        </is>
      </c>
    </row>
    <row r="37">
      <c r="A37" s="3" t="inlineStr">
        <is>
          <t>Environment</t>
        </is>
      </c>
      <c r="B37" s="3" t="inlineStr">
        <is>
          <t>Group</t>
        </is>
      </c>
      <c r="C37" s="3" t="inlineStr">
        <is>
          <t>Azure service type</t>
        </is>
      </c>
      <c r="D37" s="3" t="inlineStr">
        <is>
          <t>Service description</t>
        </is>
      </c>
      <c r="E37" s="3" t="inlineStr">
        <is>
          <t>Region</t>
        </is>
      </c>
      <c r="F37" s="3" t="inlineStr">
        <is>
          <t>Specs description</t>
        </is>
      </c>
      <c r="G37" s="3" t="inlineStr">
        <is>
          <t>Qty</t>
        </is>
      </c>
      <c r="H37" s="3" t="inlineStr">
        <is>
          <t>Unit price (USD / month)</t>
        </is>
      </c>
      <c r="I37" s="3" t="inlineStr">
        <is>
          <t>Estimated monthly cost (USD)</t>
        </is>
      </c>
    </row>
    <row r="38">
      <c r="A38" s="4" t="inlineStr">
        <is>
          <t>Stage 1 pre-production</t>
        </is>
      </c>
      <c r="B38" s="5" t="inlineStr">
        <is>
          <t>Compute (AKS)</t>
        </is>
      </c>
      <c r="C38" s="5" t="inlineStr">
        <is>
          <t>Azure Kubernetes Service</t>
        </is>
      </c>
      <c r="D38" s="5" t="inlineStr">
        <is>
          <t>Control plane</t>
        </is>
      </c>
      <c r="E38" s="5" t="inlineStr">
        <is>
          <t>UAE North</t>
        </is>
      </c>
      <c r="F38" s="5" t="inlineStr">
        <is>
          <t>Free tier. Workbook</t>
        </is>
      </c>
      <c r="G38" s="5" t="n">
        <v>1</v>
      </c>
      <c r="H38" s="6" t="n">
        <v>0</v>
      </c>
      <c r="I38" s="7">
        <f>G38*H38</f>
        <v/>
      </c>
    </row>
    <row r="39">
      <c r="A39" s="8" t="n"/>
      <c r="B39" s="5" t="inlineStr">
        <is>
          <t>Compute (AKS)</t>
        </is>
      </c>
      <c r="C39" s="5" t="inlineStr">
        <is>
          <t>Virtual Machines (AKS nodes)</t>
        </is>
      </c>
      <c r="D39" s="5" t="inlineStr">
        <is>
          <t>One node: every deployable, Redis, Qdrant and the broker</t>
        </is>
      </c>
      <c r="E39" s="5" t="inlineStr">
        <is>
          <t>UAE North</t>
        </is>
      </c>
      <c r="F39" s="5" t="inlineStr">
        <is>
          <t>D8s v5 (8 vCPU, 32 GB), Linux, one replica each. No GPU node: the models run on its CPU at test volume (an assumption to confirm in Sprint 2). Workbook</t>
        </is>
      </c>
      <c r="G39" s="5" t="n">
        <v>1</v>
      </c>
      <c r="H39" s="6" t="n">
        <v>350</v>
      </c>
      <c r="I39" s="7">
        <f>G39*H39</f>
        <v/>
      </c>
    </row>
    <row r="40">
      <c r="A40" s="8" t="n"/>
      <c r="B40" s="5" t="inlineStr">
        <is>
          <t>Database</t>
        </is>
      </c>
      <c r="C40" s="5" t="inlineStr">
        <is>
          <t>Azure Database for PostgreSQL</t>
        </is>
      </c>
      <c r="D40" s="5" t="inlineStr">
        <is>
          <t>Control DB + test tenant DBs</t>
        </is>
      </c>
      <c r="E40" s="5" t="inlineStr">
        <is>
          <t>UAE North</t>
        </is>
      </c>
      <c r="F40" s="5" t="inlineStr">
        <is>
          <t>General Purpose D2ds v5 + 256 GB, no standby (pre-production only). Workbook</t>
        </is>
      </c>
      <c r="G40" s="5" t="n">
        <v>1</v>
      </c>
      <c r="H40" s="6" t="n">
        <v>196</v>
      </c>
      <c r="I40" s="7">
        <f>G40*H40</f>
        <v/>
      </c>
    </row>
    <row r="41">
      <c r="A41" s="8" t="n"/>
      <c r="B41" s="5" t="inlineStr">
        <is>
          <t>Storage</t>
        </is>
      </c>
      <c r="C41" s="5" t="inlineStr">
        <is>
          <t>Storage account (Blob, LRS)</t>
        </is>
      </c>
      <c r="D41" s="5" t="inlineStr">
        <is>
          <t>Test media and snapshots</t>
        </is>
      </c>
      <c r="E41" s="5" t="inlineStr">
        <is>
          <t>UAE North</t>
        </is>
      </c>
      <c r="F41" s="5" t="inlineStr">
        <is>
          <t>Hot tier, 500 GB. Workbook</t>
        </is>
      </c>
      <c r="G41" s="5" t="n">
        <v>1</v>
      </c>
      <c r="H41" s="6" t="n">
        <v>15</v>
      </c>
      <c r="I41" s="7">
        <f>G41*H41</f>
        <v/>
      </c>
    </row>
    <row r="42">
      <c r="A42" s="8" t="n"/>
      <c r="B42" s="5" t="inlineStr">
        <is>
          <t>Security</t>
        </is>
      </c>
      <c r="C42" s="5" t="inlineStr">
        <is>
          <t>Key Vault</t>
        </is>
      </c>
      <c r="D42" s="5" t="inlineStr">
        <is>
          <t>Test secrets</t>
        </is>
      </c>
      <c r="E42" s="5" t="inlineStr">
        <is>
          <t>UAE North</t>
        </is>
      </c>
      <c r="F42" s="5" t="inlineStr">
        <is>
          <t>Standard. Workbook</t>
        </is>
      </c>
      <c r="G42" s="5" t="n">
        <v>1</v>
      </c>
      <c r="H42" s="6" t="n">
        <v>5</v>
      </c>
      <c r="I42" s="7">
        <f>G42*H42</f>
        <v/>
      </c>
    </row>
    <row r="43">
      <c r="A43" s="9" t="n"/>
      <c r="B43" s="5" t="inlineStr">
        <is>
          <t>Network</t>
        </is>
      </c>
      <c r="C43" s="5" t="inlineStr">
        <is>
          <t>Front Door, load balancer, registry, Log Analytics</t>
        </is>
      </c>
      <c r="D43" s="5" t="inlineStr">
        <is>
          <t>Shared with Stage 1 production</t>
        </is>
      </c>
      <c r="E43" s="5" t="inlineStr">
        <is>
          <t>UAE North</t>
        </is>
      </c>
      <c r="F43" s="5" t="inlineStr">
        <is>
          <t>Separate routes and WAF policy</t>
        </is>
      </c>
      <c r="G43" s="5" t="n">
        <v>1</v>
      </c>
      <c r="H43" s="6" t="n">
        <v>0</v>
      </c>
      <c r="I43" s="7">
        <f>G43*H43</f>
        <v/>
      </c>
    </row>
    <row r="44">
      <c r="F44" s="10" t="inlineStr">
        <is>
          <t>USD - Total cost per month</t>
        </is>
      </c>
      <c r="I44" s="11">
        <f>SUM(I38:I43)</f>
        <v/>
      </c>
    </row>
    <row r="45">
      <c r="F45" s="10" t="inlineStr">
        <is>
          <t>AED - Total cost per month</t>
        </is>
      </c>
      <c r="I45" s="11">
        <f>I44*$C$3</f>
        <v/>
      </c>
    </row>
    <row r="46">
      <c r="F46" s="10" t="inlineStr">
        <is>
          <t>AED - Total cost per year</t>
        </is>
      </c>
      <c r="I46" s="11">
        <f>I45*12</f>
        <v/>
      </c>
    </row>
    <row r="47">
      <c r="F47" s="10" t="inlineStr">
        <is>
          <t>AED - Total price per year with margin</t>
        </is>
      </c>
      <c r="I47" s="11">
        <f>I46*(1+$C$4)</f>
        <v/>
      </c>
    </row>
    <row r="49">
      <c r="B49" s="12" t="inlineStr">
        <is>
          <t>Notes - Stage 1 pre-production</t>
        </is>
      </c>
    </row>
    <row r="52">
      <c r="A52" s="3" t="inlineStr">
        <is>
          <t>Environment</t>
        </is>
      </c>
      <c r="B52" s="3" t="inlineStr">
        <is>
          <t>Group</t>
        </is>
      </c>
      <c r="C52" s="3" t="inlineStr">
        <is>
          <t>Azure service type</t>
        </is>
      </c>
      <c r="D52" s="3" t="inlineStr">
        <is>
          <t>Service description</t>
        </is>
      </c>
      <c r="E52" s="3" t="inlineStr">
        <is>
          <t>Region</t>
        </is>
      </c>
      <c r="F52" s="3" t="inlineStr">
        <is>
          <t>Specs description</t>
        </is>
      </c>
      <c r="G52" s="3" t="inlineStr">
        <is>
          <t>Qty</t>
        </is>
      </c>
      <c r="H52" s="3" t="inlineStr">
        <is>
          <t>Unit price (USD / month)</t>
        </is>
      </c>
      <c r="I52" s="3" t="inlineStr">
        <is>
          <t>Estimated monthly cost (USD)</t>
        </is>
      </c>
    </row>
    <row r="53">
      <c r="A53" s="4" t="inlineStr">
        <is>
          <t>Stage 0 (reference only)</t>
        </is>
      </c>
      <c r="B53" s="5" t="inlineStr">
        <is>
          <t>Compute</t>
        </is>
      </c>
      <c r="C53" s="5" t="inlineStr">
        <is>
          <t>Virtual Machines</t>
        </is>
      </c>
      <c r="D53" s="5" t="inlineStr">
        <is>
          <t>One server running everything (reference only, not the plan)</t>
        </is>
      </c>
      <c r="E53" s="5" t="inlineStr">
        <is>
          <t>UAE North</t>
        </is>
      </c>
      <c r="F53" s="5" t="inlineStr">
        <is>
          <t>D16s v5 (16 vCPU, 64 GB), Linux, $0.942/h. No zone redundancy anywhere. Retail API, 4 Oct</t>
        </is>
      </c>
      <c r="G53" s="5" t="n">
        <v>1</v>
      </c>
      <c r="H53" s="6" t="n">
        <v>687.66</v>
      </c>
      <c r="I53" s="7">
        <f>G53*H53</f>
        <v/>
      </c>
    </row>
    <row r="54">
      <c r="A54" s="9" t="n"/>
      <c r="B54" s="5" t="inlineStr">
        <is>
          <t>AI</t>
        </is>
      </c>
      <c r="C54" s="5" t="inlineStr">
        <is>
          <t>Virtual Machines</t>
        </is>
      </c>
      <c r="D54" s="5" t="inlineStr">
        <is>
          <t>AI GPU node</t>
        </is>
      </c>
      <c r="E54" s="5" t="inlineStr">
        <is>
          <t>UAE North</t>
        </is>
      </c>
      <c r="F54" s="5" t="inlineStr">
        <is>
          <t>NV6ads A10 v5, $0.649/h. Retail API, 4 Oct</t>
        </is>
      </c>
      <c r="G54" s="5" t="n">
        <v>1</v>
      </c>
      <c r="H54" s="6" t="n">
        <v>473.77</v>
      </c>
      <c r="I54" s="7">
        <f>G54*H54</f>
        <v/>
      </c>
    </row>
    <row r="55">
      <c r="F55" s="10" t="inlineStr">
        <is>
          <t>USD - Total cost per month</t>
        </is>
      </c>
      <c r="I55" s="11">
        <f>SUM(I53:I54)</f>
        <v/>
      </c>
    </row>
    <row r="56">
      <c r="F56" s="10" t="inlineStr">
        <is>
          <t>AED - Total cost per month</t>
        </is>
      </c>
      <c r="I56" s="11">
        <f>I55*$C$3</f>
        <v/>
      </c>
    </row>
    <row r="57">
      <c r="F57" s="10" t="inlineStr">
        <is>
          <t>AED - Total cost per year</t>
        </is>
      </c>
      <c r="I57" s="11">
        <f>I56*12</f>
        <v/>
      </c>
    </row>
    <row r="58">
      <c r="F58" s="10" t="inlineStr">
        <is>
          <t>AED - Total price per year with margin</t>
        </is>
      </c>
      <c r="I58" s="11">
        <f>I57*(1+$C$4)</f>
        <v/>
      </c>
    </row>
    <row r="60">
      <c r="B60" s="12" t="inlineStr">
        <is>
          <t>Notes - Stage 0 (reference only)</t>
        </is>
      </c>
    </row>
  </sheetData>
  <mergeCells count="8">
    <mergeCell ref="B30:I30"/>
    <mergeCell ref="B33:I33"/>
    <mergeCell ref="A7:A23"/>
    <mergeCell ref="B34:I34"/>
    <mergeCell ref="A38:A43"/>
    <mergeCell ref="B31:I31"/>
    <mergeCell ref="B32:I32"/>
    <mergeCell ref="A53:A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8" customWidth="1" min="4" max="4"/>
    <col width="11" customWidth="1" min="5" max="5"/>
    <col width="46" customWidth="1" min="6" max="6"/>
    <col width="6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TICVAI - Azure cloud specs and cost (infra without ha)</t>
        </is>
      </c>
    </row>
    <row r="3">
      <c r="B3" t="inlineStr">
        <is>
          <t>AED per USD</t>
        </is>
      </c>
      <c r="C3" t="n">
        <v>3.6725</v>
      </c>
      <c r="D3" t="inlineStr">
        <is>
          <t>Edit the rate, the margin and any unit price; every total is a formula.</t>
        </is>
      </c>
    </row>
    <row r="4">
      <c r="B4" t="inlineStr">
        <is>
          <t>Margin</t>
        </is>
      </c>
      <c r="C4" s="2" t="n">
        <v>0.2</v>
      </c>
      <c r="D4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</t>
        </is>
      </c>
    </row>
    <row r="6">
      <c r="A6" s="3" t="inlineStr">
        <is>
          <t>Environment</t>
        </is>
      </c>
      <c r="B6" s="3" t="inlineStr">
        <is>
          <t>Group</t>
        </is>
      </c>
      <c r="C6" s="3" t="inlineStr">
        <is>
          <t>Azure service type</t>
        </is>
      </c>
      <c r="D6" s="3" t="inlineStr">
        <is>
          <t>Service description</t>
        </is>
      </c>
      <c r="E6" s="3" t="inlineStr">
        <is>
          <t>Region</t>
        </is>
      </c>
      <c r="F6" s="3" t="inlineStr">
        <is>
          <t>Specs description</t>
        </is>
      </c>
      <c r="G6" s="3" t="inlineStr">
        <is>
          <t>Qty</t>
        </is>
      </c>
      <c r="H6" s="3" t="inlineStr">
        <is>
          <t>Unit price (USD / month)</t>
        </is>
      </c>
      <c r="I6" s="3" t="inlineStr">
        <is>
          <t>Estimated monthly cost (USD)</t>
        </is>
      </c>
      <c r="J6" s="3" t="inlineStr">
        <is>
          <t>When solution is scaled up (USD)</t>
        </is>
      </c>
    </row>
    <row r="7">
      <c r="A7" s="4" t="inlineStr">
        <is>
          <t>Production</t>
        </is>
      </c>
      <c r="B7" s="5" t="inlineStr">
        <is>
          <t>Compute (AKS)</t>
        </is>
      </c>
      <c r="C7" s="5" t="inlineStr">
        <is>
          <t>Azure Kubernetes Service</t>
        </is>
      </c>
      <c r="D7" s="5" t="inlineStr">
        <is>
          <t>Control plane, Standard tier</t>
        </is>
      </c>
      <c r="E7" s="5" t="inlineStr">
        <is>
          <t>UAE North</t>
        </is>
      </c>
      <c r="F7" s="5" t="inlineStr">
        <is>
          <t>Uptime SLA</t>
        </is>
      </c>
      <c r="G7" s="5" t="n">
        <v>1</v>
      </c>
      <c r="H7" s="6" t="n">
        <v>73</v>
      </c>
      <c r="I7" s="7">
        <f>G7*H7</f>
        <v/>
      </c>
      <c r="J7" s="7">
        <f>I7</f>
        <v/>
      </c>
    </row>
    <row r="8">
      <c r="A8" s="8" t="n"/>
      <c r="B8" s="5" t="inlineStr">
        <is>
          <t>Compute (AKS)</t>
        </is>
      </c>
      <c r="C8" s="5" t="inlineStr">
        <is>
          <t>Virtual Machines (AKS nodes)</t>
        </is>
      </c>
      <c r="D8" s="5" t="inlineStr">
        <is>
          <t>System node pool (and the ingress gateway pods)</t>
        </is>
      </c>
      <c r="E8" s="5" t="inlineStr">
        <is>
          <t>UAE North</t>
        </is>
      </c>
      <c r="F8" s="5" t="inlineStr">
        <is>
          <t>D4s v5 (4 vCPU, 16 GB), Linux, one zone</t>
        </is>
      </c>
      <c r="G8" s="5" t="n">
        <v>2</v>
      </c>
      <c r="H8" s="6" t="n">
        <v>175</v>
      </c>
      <c r="I8" s="7">
        <f>G8*H8</f>
        <v/>
      </c>
      <c r="J8" s="7">
        <f>I8</f>
        <v/>
      </c>
    </row>
    <row r="9">
      <c r="A9" s="8" t="n"/>
      <c r="B9" s="5" t="inlineStr">
        <is>
          <t>Compute (AKS)</t>
        </is>
      </c>
      <c r="C9" s="5" t="inlineStr">
        <is>
          <t>Virtual Machines (AKS nodes)</t>
        </is>
      </c>
      <c r="D9" s="5" t="inlineStr">
        <is>
          <t>Workload pool: commerce, access, operations, workers</t>
        </is>
      </c>
      <c r="E9" s="5" t="inlineStr">
        <is>
          <t>UAE North</t>
        </is>
      </c>
      <c r="F9" s="5" t="inlineStr">
        <is>
          <t>D8s v5 (8 vCPU, 32 GB), Linux, autoscale 2-10. Carries the floors (ADR-0061): 9 replicas on 2 nodes; in one zone commerce's three replicas cannot be one per zone</t>
        </is>
      </c>
      <c r="G9" s="5" t="n">
        <v>2</v>
      </c>
      <c r="H9" s="6" t="n">
        <v>350</v>
      </c>
      <c r="I9" s="7">
        <f>G9*H9</f>
        <v/>
      </c>
      <c r="J9" s="7">
        <f>4*H9</f>
        <v/>
      </c>
    </row>
    <row r="10">
      <c r="A10" s="8" t="n"/>
      <c r="B10" s="5" t="inlineStr">
        <is>
          <t>Compute (AKS)</t>
        </is>
      </c>
      <c r="C10" s="5" t="inlineStr">
        <is>
          <t>Virtual Machines (AKS nodes)</t>
        </is>
      </c>
      <c r="D10" s="5" t="inlineStr">
        <is>
          <t>AI GPU pool: ticvai-ai, BGE-M3 and its reranker, Presidio and the Arabic NER (CHG-R11-001)</t>
        </is>
      </c>
      <c r="E10" s="5" t="inlineStr">
        <is>
          <t>UAE North</t>
        </is>
      </c>
      <c r="F10" s="5" t="inlineStr">
        <is>
          <t>NV6ads A10 v5 (6 vCPU, 55 GB, 1/6 A10 with 4 GB), Linux, tainted, one node. Carries the floors (real-time 2, interactive 1, about 1 vCPU a pod) beside Presidio and, on the GPU, BGE-M3, its reranker and the Arabic NER. With the node down the scrubber is down and LLM calls are refused (503 scrubber-unavailable), never sent raw</t>
        </is>
      </c>
      <c r="G10" s="5" t="n">
        <v>1</v>
      </c>
      <c r="H10" s="6" t="n">
        <v>473.77</v>
      </c>
      <c r="I10" s="7">
        <f>G10*H10</f>
        <v/>
      </c>
      <c r="J10" s="7">
        <f>2*H10</f>
        <v/>
      </c>
    </row>
    <row r="11">
      <c r="A11" s="8" t="n"/>
      <c r="B11" s="5" t="inlineStr">
        <is>
          <t>Vector store</t>
        </is>
      </c>
      <c r="C11" s="5" t="inlineStr">
        <is>
          <t>Virtual Machines (AKS nodes)</t>
        </is>
      </c>
      <c r="D11" s="5" t="inlineStr">
        <is>
          <t>Qdrant, one collection per tenant (ADR-0049)</t>
        </is>
      </c>
      <c r="E11" s="5" t="inlineStr">
        <is>
          <t>UAE North</t>
        </is>
      </c>
      <c r="F11" s="5" t="inlineStr">
        <is>
          <t>E4s v5 (4 vCPU, 32 GB), single node</t>
        </is>
      </c>
      <c r="G11" s="5" t="n">
        <v>1</v>
      </c>
      <c r="H11" s="6" t="n">
        <v>225</v>
      </c>
      <c r="I11" s="7">
        <f>G11*H11</f>
        <v/>
      </c>
      <c r="J11" s="7">
        <f>I11</f>
        <v/>
      </c>
    </row>
    <row r="12">
      <c r="A12" s="8" t="n"/>
      <c r="B12" s="5" t="inlineStr">
        <is>
          <t>Vector store</t>
        </is>
      </c>
      <c r="C12" s="5" t="inlineStr">
        <is>
          <t>Managed Disks</t>
        </is>
      </c>
      <c r="D12" s="5" t="inlineStr">
        <is>
          <t>Qdrant storage</t>
        </is>
      </c>
      <c r="E12" s="5" t="inlineStr">
        <is>
          <t>UAE North</t>
        </is>
      </c>
      <c r="F12" s="5" t="inlineStr">
        <is>
          <t>Premium SSD P15 256 GB</t>
        </is>
      </c>
      <c r="G12" s="5" t="n">
        <v>1</v>
      </c>
      <c r="H12" s="6" t="n">
        <v>38</v>
      </c>
      <c r="I12" s="7">
        <f>G12*H12</f>
        <v/>
      </c>
      <c r="J12" s="7">
        <f>I12</f>
        <v/>
      </c>
    </row>
    <row r="13">
      <c r="A13" s="8" t="n"/>
      <c r="B13" s="5" t="inlineStr">
        <is>
          <t>Event broker</t>
        </is>
      </c>
      <c r="C13" s="5" t="inlineStr">
        <is>
          <t>Virtual Machines (AKS nodes)</t>
        </is>
      </c>
      <c r="D13" s="5" t="inlineStr">
        <is>
          <t>Broker: RabbitMQ recommended, or Kafka (the client's choice, due 12 October; ADR-0057, proposed)</t>
        </is>
      </c>
      <c r="E13" s="5" t="inlineStr">
        <is>
          <t>UAE North</t>
        </is>
      </c>
      <c r="F13" s="5" t="inlineStr">
        <is>
          <t>D2s v5 (2 vCPU, 8 GB), single node, self-run</t>
        </is>
      </c>
      <c r="G13" s="5" t="n">
        <v>1</v>
      </c>
      <c r="H13" s="6" t="n">
        <v>88</v>
      </c>
      <c r="I13" s="7">
        <f>G13*H13</f>
        <v/>
      </c>
      <c r="J13" s="7">
        <f>I13</f>
        <v/>
      </c>
    </row>
    <row r="14">
      <c r="A14" s="8" t="n"/>
      <c r="B14" s="5" t="inlineStr">
        <is>
          <t>Event broker</t>
        </is>
      </c>
      <c r="C14" s="5" t="inlineStr">
        <is>
          <t>Managed Disks</t>
        </is>
      </c>
      <c r="D14" s="5" t="inlineStr">
        <is>
          <t>Broker storage</t>
        </is>
      </c>
      <c r="E14" s="5" t="inlineStr">
        <is>
          <t>UAE North</t>
        </is>
      </c>
      <c r="F14" s="5" t="inlineStr">
        <is>
          <t>Premium SSD P10 128 GB</t>
        </is>
      </c>
      <c r="G14" s="5" t="n">
        <v>1</v>
      </c>
      <c r="H14" s="6" t="n">
        <v>21.5</v>
      </c>
      <c r="I14" s="7">
        <f>G14*H14</f>
        <v/>
      </c>
      <c r="J14" s="7">
        <f>I14</f>
        <v/>
      </c>
    </row>
    <row r="15">
      <c r="A15" s="8" t="n"/>
      <c r="B15" s="5" t="inlineStr">
        <is>
          <t>Database</t>
        </is>
      </c>
      <c r="C15" s="5" t="inlineStr">
        <is>
          <t>Azure Database for PostgreSQL</t>
        </is>
      </c>
      <c r="D15" s="5" t="inlineStr">
        <is>
          <t>Primary with zone-redundant standby: control DB + DB per tenant</t>
        </is>
      </c>
      <c r="E15" s="5" t="inlineStr">
        <is>
          <t>UAE North</t>
        </is>
      </c>
      <c r="F15" s="5" t="inlineStr">
        <is>
          <t>Flexible Server 16, General Purpose D4ds v5 (4 vCore, 16 GB) x2 (primary + standby in another zone). The standby stays on this sheet: production PostgreSQL is zone-redundant on every tier (ADR-0060; Chinmay, 1 October), and database_high_availability is false only for pre-production</t>
        </is>
      </c>
      <c r="G15" s="5" t="n">
        <v>2</v>
      </c>
      <c r="H15" s="6" t="n">
        <v>320</v>
      </c>
      <c r="I15" s="7">
        <f>G15*H15</f>
        <v/>
      </c>
      <c r="J15" s="7">
        <f>I15</f>
        <v/>
      </c>
    </row>
    <row r="16">
      <c r="A16" s="8" t="n"/>
      <c r="B16" s="5" t="inlineStr">
        <is>
          <t>Database</t>
        </is>
      </c>
      <c r="C16" s="5" t="inlineStr">
        <is>
          <t>Azure Database for PostgreSQL</t>
        </is>
      </c>
      <c r="D16" s="5" t="inlineStr">
        <is>
          <t>Storage, primary and standby</t>
        </is>
      </c>
      <c r="E16" s="5" t="inlineStr">
        <is>
          <t>UAE North</t>
        </is>
      </c>
      <c r="F16" s="5" t="inlineStr">
        <is>
          <t>256 GB Premium SSD each; PITR backup 35 days</t>
        </is>
      </c>
      <c r="G16" s="5" t="n">
        <v>2</v>
      </c>
      <c r="H16" s="6" t="n">
        <v>36</v>
      </c>
      <c r="I16" s="7">
        <f>G16*H16</f>
        <v/>
      </c>
      <c r="J16" s="7">
        <f>I16</f>
        <v/>
      </c>
    </row>
    <row r="17">
      <c r="A17" s="8" t="n"/>
      <c r="B17" s="5" t="inlineStr">
        <is>
          <t>Database</t>
        </is>
      </c>
      <c r="C17" s="5" t="inlineStr">
        <is>
          <t>Azure Database for PostgreSQL</t>
        </is>
      </c>
      <c r="D17" s="5" t="inlineStr">
        <is>
          <t>Read replica (operational reads; gate checks never read here)</t>
        </is>
      </c>
      <c r="E17" s="5" t="inlineStr">
        <is>
          <t>UAE North</t>
        </is>
      </c>
      <c r="F17" s="5" t="inlineStr">
        <is>
          <t>General Purpose D4ds v5 + 256 GB</t>
        </is>
      </c>
      <c r="G17" s="5" t="n">
        <v>1</v>
      </c>
      <c r="H17" s="6" t="n">
        <v>356</v>
      </c>
      <c r="I17" s="7">
        <f>G17*H17</f>
        <v/>
      </c>
      <c r="J17" s="7">
        <f>I17</f>
        <v/>
      </c>
    </row>
    <row r="18">
      <c r="A18" s="8" t="n"/>
      <c r="B18" s="5" t="inlineStr">
        <is>
          <t>Database</t>
        </is>
      </c>
      <c r="C18" s="5" t="inlineStr">
        <is>
          <t>Azure Database for PostgreSQL</t>
        </is>
      </c>
      <c r="D18" s="5" t="inlineStr">
        <is>
          <t>Reporting replica (lag-tolerant, no writes)</t>
        </is>
      </c>
      <c r="E18" s="5" t="inlineStr">
        <is>
          <t>UAE North</t>
        </is>
      </c>
      <c r="F18" s="5" t="inlineStr">
        <is>
          <t>General Purpose D2ds v5 (2 vCore, 8 GB) + 256 GB. Reporting never reads an operational replica (ADR-0016; the Terraform's enable_reporting_replica)</t>
        </is>
      </c>
      <c r="G18" s="5" t="n">
        <v>1</v>
      </c>
      <c r="H18" s="6" t="n">
        <v>196</v>
      </c>
      <c r="I18" s="7">
        <f>G18*H18</f>
        <v/>
      </c>
      <c r="J18" s="7">
        <f>I18</f>
        <v/>
      </c>
    </row>
    <row r="19">
      <c r="A19" s="8" t="n"/>
      <c r="B19" s="5" t="inlineStr">
        <is>
          <t>Database</t>
        </is>
      </c>
      <c r="C19" s="5" t="inlineStr">
        <is>
          <t>Azure Database for PostgreSQL</t>
        </is>
      </c>
      <c r="D19" s="5" t="inlineStr">
        <is>
          <t>AI log database</t>
        </is>
      </c>
      <c r="E19" s="5" t="inlineStr">
        <is>
          <t>UAE North</t>
        </is>
      </c>
      <c r="F19" s="5" t="inlineStr">
        <is>
          <t>General Purpose D2ds v5 + 512 GB; not yet in the Terraform cell module</t>
        </is>
      </c>
      <c r="G19" s="5" t="n">
        <v>1</v>
      </c>
      <c r="H19" s="6" t="n">
        <v>230</v>
      </c>
      <c r="I19" s="7">
        <f>G19*H19</f>
        <v/>
      </c>
      <c r="J19" s="7">
        <f>I19</f>
        <v/>
      </c>
    </row>
    <row r="20">
      <c r="A20" s="8" t="n"/>
      <c r="B20" s="5" t="inlineStr">
        <is>
          <t>Cache</t>
        </is>
      </c>
      <c r="C20" s="5" t="inlineStr">
        <is>
          <t>Azure Managed Redis</t>
        </is>
      </c>
      <c r="D20" s="5" t="inlineStr">
        <is>
          <t>Sessions, idempotency keys, request budgets, waiting-room positions, caches</t>
        </is>
      </c>
      <c r="E20" s="5" t="inlineStr">
        <is>
          <t>UAE North</t>
        </is>
      </c>
      <c r="F20" s="5" t="inlineStr">
        <is>
          <t>Balanced B10 (12 GB), one node, no high availability; $0.45045/h. The Terraform keeps redis_high_availability = false for pre-production: a production cell without it is the client's call (ADR-0060)</t>
        </is>
      </c>
      <c r="G20" s="5" t="n">
        <v>1</v>
      </c>
      <c r="H20" s="6" t="n">
        <v>329</v>
      </c>
      <c r="I20" s="7">
        <f>G20*H20</f>
        <v/>
      </c>
      <c r="J20" s="7">
        <f>I20</f>
        <v/>
      </c>
    </row>
    <row r="21">
      <c r="A21" s="8" t="n"/>
      <c r="B21" s="5" t="inlineStr">
        <is>
          <t>Storage</t>
        </is>
      </c>
      <c r="C21" s="5" t="inlineStr">
        <is>
          <t>Storage account (Blob, LRS)</t>
        </is>
      </c>
      <c r="D21" s="5" t="inlineStr">
        <is>
          <t>Media (including venue 3D models), exports, Qdrant snapshots, database dumps</t>
        </is>
      </c>
      <c r="E21" s="5" t="inlineStr">
        <is>
          <t>UAE North</t>
        </is>
      </c>
      <c r="F21" s="5" t="inlineStr">
        <is>
          <t>Hot tier, 2 TB, UAE North only</t>
        </is>
      </c>
      <c r="G21" s="5" t="n">
        <v>1</v>
      </c>
      <c r="H21" s="6" t="n">
        <v>45</v>
      </c>
      <c r="I21" s="7">
        <f>G21*H21</f>
        <v/>
      </c>
      <c r="J21" s="7">
        <f>I21</f>
        <v/>
      </c>
    </row>
    <row r="22">
      <c r="A22" s="8" t="n"/>
      <c r="B22" s="5" t="inlineStr">
        <is>
          <t>Storage</t>
        </is>
      </c>
      <c r="C22" s="5" t="inlineStr">
        <is>
          <t>Container Registry</t>
        </is>
      </c>
      <c r="D22" s="5" t="inlineStr">
        <is>
          <t>Images for the five deployables</t>
        </is>
      </c>
      <c r="E22" s="5" t="inlineStr">
        <is>
          <t>UAE North</t>
        </is>
      </c>
      <c r="F22" s="5" t="inlineStr">
        <is>
          <t>Standard</t>
        </is>
      </c>
      <c r="G22" s="5" t="n">
        <v>1</v>
      </c>
      <c r="H22" s="6" t="n">
        <v>20</v>
      </c>
      <c r="I22" s="7">
        <f>G22*H22</f>
        <v/>
      </c>
      <c r="J22" s="7">
        <f>I22</f>
        <v/>
      </c>
    </row>
    <row r="23">
      <c r="A23" s="8" t="n"/>
      <c r="B23" s="5" t="inlineStr">
        <is>
          <t>Security</t>
        </is>
      </c>
      <c r="C23" s="5" t="inlineStr">
        <is>
          <t>Key Vault</t>
        </is>
      </c>
      <c r="D23" s="5" t="inlineStr">
        <is>
          <t>Secrets (the Qdrant API key and the waiting-room token key), per-tenant keys</t>
        </is>
      </c>
      <c r="E23" s="5" t="inlineStr">
        <is>
          <t>UAE North</t>
        </is>
      </c>
      <c r="F23" s="5" t="inlineStr">
        <is>
          <t>Standard. Premium if ADR-0063's HSM-wrapped tenant keys are accepted (+$1.32 per tenant per month)</t>
        </is>
      </c>
      <c r="G23" s="5" t="n">
        <v>1</v>
      </c>
      <c r="H23" s="6" t="n">
        <v>5</v>
      </c>
      <c r="I23" s="7">
        <f>G23*H23</f>
        <v/>
      </c>
      <c r="J23" s="7">
        <f>I23</f>
        <v/>
      </c>
    </row>
    <row r="24">
      <c r="A24" s="8" t="n"/>
      <c r="B24" s="5" t="inlineStr">
        <is>
          <t>Network</t>
        </is>
      </c>
      <c r="C24" s="5" t="inlineStr">
        <is>
          <t>Azure Front Door</t>
        </is>
      </c>
      <c r="D24" s="5" t="inlineStr">
        <is>
          <t>Single entry for web, apps and APIs, with WAF; the on-sale waiting-room page</t>
        </is>
      </c>
      <c r="E24" s="5" t="inlineStr">
        <is>
          <t>Global</t>
        </is>
      </c>
      <c r="F24" s="5" t="inlineStr">
        <is>
          <t>Premium: WAF managed rules, bot protection and rate rules per client IP. Base $330 + 2 TB edge-to-client in zone 7 ($225) + about 50 million requests ($84, an assumption) + edge-to-origin</t>
        </is>
      </c>
      <c r="G24" s="5" t="n">
        <v>1</v>
      </c>
      <c r="H24" s="6" t="n">
        <v>650</v>
      </c>
      <c r="I24" s="7">
        <f>G24*H24</f>
        <v/>
      </c>
      <c r="J24" s="7">
        <f>2*H24</f>
        <v/>
      </c>
    </row>
    <row r="25">
      <c r="A25" s="8" t="n"/>
      <c r="B25" s="5" t="inlineStr">
        <is>
          <t>Network</t>
        </is>
      </c>
      <c r="C25" s="5" t="inlineStr">
        <is>
          <t>NAT Gateway</t>
        </is>
      </c>
      <c r="D25" s="5" t="inlineStr">
        <is>
          <t>One static egress IP for payment, e-invoicing and messaging allow-lists</t>
        </is>
      </c>
      <c r="E25" s="5" t="inlineStr">
        <is>
          <t>UAE North</t>
        </is>
      </c>
      <c r="F25" s="5" t="inlineStr">
        <is>
          <t>730 hours, 1 TB processed</t>
        </is>
      </c>
      <c r="G25" s="5" t="n">
        <v>1</v>
      </c>
      <c r="H25" s="6" t="n">
        <v>80</v>
      </c>
      <c r="I25" s="7">
        <f>G25*H25</f>
        <v/>
      </c>
      <c r="J25" s="7">
        <f>I25</f>
        <v/>
      </c>
    </row>
    <row r="26">
      <c r="A26" s="8" t="n"/>
      <c r="B26" s="5" t="inlineStr">
        <is>
          <t>Network</t>
        </is>
      </c>
      <c r="C26" s="5" t="inlineStr">
        <is>
          <t>Azure Bastion</t>
        </is>
      </c>
      <c r="D26" s="5" t="inlineStr">
        <is>
          <t>Administrative access only</t>
        </is>
      </c>
      <c r="E26" s="5" t="inlineStr">
        <is>
          <t>UAE North</t>
        </is>
      </c>
      <c r="F26" s="5" t="inlineStr">
        <is>
          <t>Basic, 730 hours</t>
        </is>
      </c>
      <c r="G26" s="5" t="n">
        <v>1</v>
      </c>
      <c r="H26" s="6" t="n">
        <v>139</v>
      </c>
      <c r="I26" s="7">
        <f>G26*H26</f>
        <v/>
      </c>
      <c r="J26" s="7">
        <f>I26</f>
        <v/>
      </c>
    </row>
    <row r="27">
      <c r="A27" s="8" t="n"/>
      <c r="B27" s="5" t="inlineStr">
        <is>
          <t>Network</t>
        </is>
      </c>
      <c r="C27" s="5" t="inlineStr">
        <is>
          <t>Private Link</t>
        </is>
      </c>
      <c r="D27" s="5" t="inlineStr">
        <is>
          <t>Private endpoints and private DNS zones</t>
        </is>
      </c>
      <c r="E27" s="5" t="inlineStr">
        <is>
          <t>UAE North</t>
        </is>
      </c>
      <c r="F27" s="5" t="inlineStr">
        <is>
          <t>About 6 endpoints. No store has a public endpoint, with or without HA</t>
        </is>
      </c>
      <c r="G27" s="5" t="n">
        <v>1</v>
      </c>
      <c r="H27" s="6" t="n">
        <v>50</v>
      </c>
      <c r="I27" s="7">
        <f>G27*H27</f>
        <v/>
      </c>
      <c r="J27" s="7">
        <f>I27</f>
        <v/>
      </c>
    </row>
    <row r="28">
      <c r="A28" s="8" t="n"/>
      <c r="B28" s="5" t="inlineStr">
        <is>
          <t>Network</t>
        </is>
      </c>
      <c r="C28" s="5" t="inlineStr">
        <is>
          <t>Bandwidth</t>
        </is>
      </c>
      <c r="D28" s="5" t="inlineStr">
        <is>
          <t>Egress through the NAT Gateway to providers</t>
        </is>
      </c>
      <c r="E28" s="5" t="inlineStr">
        <is>
          <t>UAE North</t>
        </is>
      </c>
      <c r="F28" s="5" t="inlineStr">
        <is>
          <t>First 100 GB free, then $0.181/GB; the web traffic is in the Front Door line</t>
        </is>
      </c>
      <c r="G28" s="5" t="n">
        <v>1</v>
      </c>
      <c r="H28" s="6" t="n">
        <v>20</v>
      </c>
      <c r="I28" s="7">
        <f>G28*H28</f>
        <v/>
      </c>
      <c r="J28" s="7">
        <f>2*H28</f>
        <v/>
      </c>
    </row>
    <row r="29">
      <c r="A29" s="8" t="n"/>
      <c r="B29" s="5" t="inlineStr">
        <is>
          <t>Operations</t>
        </is>
      </c>
      <c r="C29" s="5" t="inlineStr">
        <is>
          <t>Azure Monitor / Log Analytics</t>
        </is>
      </c>
      <c r="D29" s="5" t="inlineStr">
        <is>
          <t>Logs, metrics, alerts</t>
        </is>
      </c>
      <c r="E29" s="5" t="inlineStr">
        <is>
          <t>UAE North</t>
        </is>
      </c>
      <c r="F29" s="5" t="inlineStr">
        <is>
          <t>About 40 GB ingested a month</t>
        </is>
      </c>
      <c r="G29" s="5" t="n">
        <v>1</v>
      </c>
      <c r="H29" s="6" t="n">
        <v>140</v>
      </c>
      <c r="I29" s="7">
        <f>G29*H29</f>
        <v/>
      </c>
      <c r="J29" s="7">
        <f>I29</f>
        <v/>
      </c>
    </row>
    <row r="30">
      <c r="A30" s="8" t="n"/>
      <c r="B30" s="5" t="inlineStr">
        <is>
          <t>Operations</t>
        </is>
      </c>
      <c r="C30" s="5" t="inlineStr">
        <is>
          <t>Microsoft Defender for Cloud</t>
        </is>
      </c>
      <c r="D30" s="5" t="inlineStr">
        <is>
          <t>Containers, databases and storage</t>
        </is>
      </c>
      <c r="E30" s="5" t="inlineStr">
        <is>
          <t>UAE North</t>
        </is>
      </c>
      <c r="F30" s="5" t="inlineStr">
        <is>
          <t>Defender for Containers: 46 vCores ($316); PostgreSQL: 4 servers ($60); Storage (about $10)</t>
        </is>
      </c>
      <c r="G30" s="5" t="n">
        <v>1</v>
      </c>
      <c r="H30" s="6" t="n">
        <v>386</v>
      </c>
      <c r="I30" s="7">
        <f>G30*H30</f>
        <v/>
      </c>
      <c r="J30" s="7">
        <f>I30</f>
        <v/>
      </c>
    </row>
    <row r="31">
      <c r="A31" s="9" t="n"/>
      <c r="B31" s="5" t="inlineStr">
        <is>
          <t>AI (usage)</t>
        </is>
      </c>
      <c r="C31" s="5" t="inlineStr">
        <is>
          <t>Azure OpenAI</t>
        </is>
      </c>
      <c r="D31" s="5" t="inlineStr">
        <is>
          <t>Language model calls (re-billed per token, AI-D02)</t>
        </is>
      </c>
      <c r="E31" s="5" t="inlineStr">
        <is>
          <t>UAE North</t>
        </is>
      </c>
      <c r="F31" s="5" t="inlineStr">
        <is>
          <t>Usage-based</t>
        </is>
      </c>
      <c r="G31" s="5" t="n">
        <v>1</v>
      </c>
      <c r="H31" s="6" t="n">
        <v>0</v>
      </c>
      <c r="I31" s="7">
        <f>G31*H31</f>
        <v/>
      </c>
      <c r="J31" s="7">
        <f>I31</f>
        <v/>
      </c>
    </row>
    <row r="32">
      <c r="F32" s="10" t="inlineStr">
        <is>
          <t>USD - Total cost per month</t>
        </is>
      </c>
      <c r="I32" s="11">
        <f>SUM(I7:I31)</f>
        <v/>
      </c>
      <c r="J32" s="14">
        <f>SUM(J7:J31)</f>
        <v/>
      </c>
    </row>
    <row r="33">
      <c r="F33" s="10" t="inlineStr">
        <is>
          <t>AED - Total cost per month</t>
        </is>
      </c>
      <c r="I33" s="11">
        <f>I32*$C$3</f>
        <v/>
      </c>
      <c r="J33" s="14">
        <f>J32*$C$3</f>
        <v/>
      </c>
    </row>
    <row r="34">
      <c r="F34" s="10" t="inlineStr">
        <is>
          <t>AED - Total cost per year</t>
        </is>
      </c>
      <c r="I34" s="11">
        <f>I33*12</f>
        <v/>
      </c>
    </row>
    <row r="35">
      <c r="F35" s="10" t="inlineStr">
        <is>
          <t>AED - Total price per year with margin</t>
        </is>
      </c>
      <c r="I35" s="11">
        <f>I34*(1+$C$4)</f>
        <v/>
      </c>
    </row>
    <row r="37">
      <c r="B37" s="12" t="inlineStr">
        <is>
          <t>Notes - Production</t>
        </is>
      </c>
    </row>
    <row r="38" ht="32" customHeight="1">
      <c r="B38" s="13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 Confirm each line in the Azure pricing calculator for UAE North before quoting; reserved instances (1 or 3 years) lower compute by roughly 30-55%.</t>
        </is>
      </c>
    </row>
    <row r="39" ht="32" customHeight="1">
      <c r="B39" s="13" t="inlineStr">
        <is>
          <t>Redis is Azure Managed Redis (ADR-0032, amended 30 September). Azure Cache for Redis retires on 30 September 2028 and new customers cannot create it from 1 October 2026, so the platform does not start on it.</t>
        </is>
      </c>
    </row>
    <row r="40" ht="32" customHeight="1">
      <c r="B40" s="13" t="inlineStr">
        <is>
          <t>Every store is hosted in the UAE, backups and disaster recovery included (DR in UAE Central, ADR-0060). Qdrant was approved on that condition (30 September).</t>
        </is>
      </c>
    </row>
    <row r="41" ht="32" customHeight="1">
      <c r="B41" s="13" t="inlineStr">
        <is>
          <t>One production cell serves many tenants: each tenant has its own PostgreSQL database and its own Qdrant collection with a collection-scoped key.</t>
        </is>
      </c>
    </row>
    <row r="42" ht="32" customHeight="1">
      <c r="B42" s="13" t="inlineStr">
        <is>
          <t>Node counts carry the replica floors of ADR-0061 (accepted 1 October): commerce 3, access 2, operations 2, workers 2, ticvai-ai real-time 2 (3 in a large cell), interactive 1, batch 0: 12 a cell, 13 in a large one. Pod sizes are assumptions until tools/bench.py measures them: about 1 vCPU for a .NET replica and about 1 vCPU for an AI pod, which mostly waits on the provider's streamed answer (AI design 4.3).</t>
        </is>
      </c>
    </row>
    <row r="43" ht="32" customHeight="1">
      <c r="B43" s="13" t="inlineStr">
        <is>
          <t>AI hosting (Chinmay, 4 October, CHG-R11-001): we host the embedding model (BGE-M3), its reranker, Presidio and the Arabic NER, together with the ticvai-ai pods, on one AI GPU node pool (NV6ads A10 v5, $473.77 a month a node; one node without HA, two with HA, one per zone); never an LLM, which stays with the providers (Core42 Compass, OpenAI UAE, BYOK). The 2 x D8s v5 AI CPU pool ($700) is gone: $8,047.50 became $8,295.04 with HA, $5,553.50 became $5,327.27 without. Defender for Containers is not re-priced for the GPU nodes' vCores (6 a node against the D8s v5's 8, so slightly lower). On AWS (me-central-1) the node is a g6.2xlarge-class instance (one L4, 8 vCPU), price and regional availability to confirm.</t>
        </is>
      </c>
    </row>
    <row r="44" ht="32" customHeight="1">
      <c r="B44" s="13" t="inlineStr">
        <is>
          <t>"When scaled up" doubles the autoscaled lines (workload and AI GPU pools, Front Door traffic, bandwidth) for busy periods such as a holiday peak. A large on-sale runs in its own burst environment (ADR-0035, amended 3 September; deploy/c-flash-sale.yml), not priced here.</t>
        </is>
      </c>
    </row>
    <row r="45" ht="32" customHeight="1">
      <c r="B45" s="13" t="inlineStr">
        <is>
          <t>Not included: Azure OpenAI tokens (billed per use), SMS, email and WhatsApp fees, payment provider fees, the e-invoicing provider (ADR-0062, proposed: the client names it), the DR module in UAE Central (bought per tenant), Apple and Google developer accounts, and venue hardware.</t>
        </is>
      </c>
    </row>
    <row r="46" ht="32" customHeight="1">
      <c r="B46" s="13" t="inlineStr">
        <is>
          <t>The venue edge node (one per venue, runs the gates and POS offline) is venue hardware, not Azure: recommended 8 cores, 32 GB RAM, 1 TB SSD, two units per venue for failover.</t>
        </is>
      </c>
    </row>
    <row r="47" ht="32" customHeight="1">
      <c r="B47" s="13" t="inlineStr">
        <is>
          <t>The event broker is the client's choice, due Monday 12 October (ADR-0057, proposed; docs/active/broker-decision-pack.md). We recommend RabbitMQ on CloudAMQP in UAE North: 3 nodes, $297-597 + $99 PrivateLink ($396-696), once 84codes confirms in writing that backups, settings and logs stay in UAE North. The sheet prices the fallback, RabbitMQ self-run on AKS (the Terraform default), because the plan is picked by the sprint-2 load test. Kafka alternatives: Event Hubs Standard with the Kafka endpoint $60-130 (10 topics per namespace); Premium 1 PU about $1,072; Confluent Cloud Enterprise about $1,280-1,640.</t>
        </is>
      </c>
    </row>
    <row r="48" ht="32" customHeight="1">
      <c r="B48" s="13" t="inlineStr">
        <is>
          <t>Front Door is a global service. It holds no personal data: it caches only public content (the on-sale waiting-room page, ADR-0066; public media such as the venue 3D models, ADR-0069) and decrypts at the edge nearest the user. Its WAF logs go to the UAE North Log Analytics workspace.</t>
        </is>
      </c>
    </row>
    <row r="49" ht="32" customHeight="1">
      <c r="B49" s="13" t="inlineStr">
        <is>
          <t>Single zone for everything except PostgreSQL: a zone outage stops the cloud services until they are restored, and the database fails over to its standby. Venue gates and POS keep working on the venue edge node, offline.</t>
        </is>
      </c>
    </row>
    <row r="50" ht="32" customHeight="1">
      <c r="B50" s="13" t="inlineStr">
        <is>
          <t>Not suitable for the cloud availability targets (ADR-0060, proposed: 99.95% for cloud commerce, 99.9% for the back office); use the high-availability sheet. Whether production may run this way is the client's answer to ADR-0060.</t>
        </is>
      </c>
    </row>
    <row r="51" ht="32" customHeight="1">
      <c r="B51" s="13" t="inlineStr">
        <is>
          <t>Recomputed 1 October 2026 (prices unchanged, those of 30 September): $4,531.50 became $5,553.50. PostgreSQL gains its zone-redundant standby, because production PostgreSQL is zone-redundant on every tier (ADR-0060, Chinmay, 1 October): +$320 compute, +$36 storage. A reporting replica of its own, because reporting never reads an operational replica (ADR-0016, the Terraform's enable_reporting_replica): +$196. A second AI node, because one node cannot hold the AI floors beside the embedding model and reranker (ADR-0061): +$350. The Private Link line the sheet lacked: +$50. Defender for the extra 8 vCores and the fourth PostgreSQL server: +$70.</t>
        </is>
      </c>
    </row>
    <row r="52" ht="32" customHeight="1">
      <c r="B52" s="13" t="inlineStr">
        <is>
          <t>Recomputed 4 October 2026 (Chinmay, CHG-R11-001): the AI pool is one GPU node, NV6ads A10 v5 at $473.77, carrying the ticvai-ai pods, Presidio, the Arabic NER, BGE-M3 and its reranker, in place of the two D8s v5 AI nodes ($700): $5,553.50 became $5,327.27.</t>
        </is>
      </c>
    </row>
    <row r="55">
      <c r="A55" s="3" t="inlineStr">
        <is>
          <t>Environment</t>
        </is>
      </c>
      <c r="B55" s="3" t="inlineStr">
        <is>
          <t>Group</t>
        </is>
      </c>
      <c r="C55" s="3" t="inlineStr">
        <is>
          <t>Azure service type</t>
        </is>
      </c>
      <c r="D55" s="3" t="inlineStr">
        <is>
          <t>Service description</t>
        </is>
      </c>
      <c r="E55" s="3" t="inlineStr">
        <is>
          <t>Region</t>
        </is>
      </c>
      <c r="F55" s="3" t="inlineStr">
        <is>
          <t>Specs description</t>
        </is>
      </c>
      <c r="G55" s="3" t="inlineStr">
        <is>
          <t>Qty</t>
        </is>
      </c>
      <c r="H55" s="3" t="inlineStr">
        <is>
          <t>Unit price (USD / month)</t>
        </is>
      </c>
      <c r="I55" s="3" t="inlineStr">
        <is>
          <t>Estimated monthly cost (USD)</t>
        </is>
      </c>
      <c r="J55" s="3" t="inlineStr">
        <is>
          <t>When solution is scaled up (USD)</t>
        </is>
      </c>
    </row>
    <row r="56">
      <c r="A56" s="4" t="inlineStr">
        <is>
          <t>Pre-production</t>
        </is>
      </c>
      <c r="B56" s="5" t="inlineStr">
        <is>
          <t>Compute (AKS)</t>
        </is>
      </c>
      <c r="C56" s="5" t="inlineStr">
        <is>
          <t>Azure Kubernetes Service</t>
        </is>
      </c>
      <c r="D56" s="5" t="inlineStr">
        <is>
          <t>Control plane</t>
        </is>
      </c>
      <c r="E56" s="5" t="inlineStr">
        <is>
          <t>UAE North</t>
        </is>
      </c>
      <c r="F56" s="5" t="inlineStr">
        <is>
          <t>Free tier</t>
        </is>
      </c>
      <c r="G56" s="5" t="n">
        <v>1</v>
      </c>
      <c r="H56" s="6" t="n">
        <v>0</v>
      </c>
      <c r="I56" s="7">
        <f>G56*H56</f>
        <v/>
      </c>
      <c r="J56" s="7">
        <f>I56</f>
        <v/>
      </c>
    </row>
    <row r="57">
      <c r="A57" s="8" t="n"/>
      <c r="B57" s="5" t="inlineStr">
        <is>
          <t>Compute (AKS)</t>
        </is>
      </c>
      <c r="C57" s="5" t="inlineStr">
        <is>
          <t>Virtual Machines (AKS nodes)</t>
        </is>
      </c>
      <c r="D57" s="5" t="inlineStr">
        <is>
          <t>System and workload nodes, all five deployables</t>
        </is>
      </c>
      <c r="E57" s="5" t="inlineStr">
        <is>
          <t>UAE North</t>
        </is>
      </c>
      <c r="F57" s="5" t="inlineStr">
        <is>
          <t>D8s v5 (8 vCPU, 32 GB) x2 + D4s v5 x1, Linux. One replica per unit: the ADR-0061 floors are for production cells</t>
        </is>
      </c>
      <c r="G57" s="5" t="n">
        <v>1</v>
      </c>
      <c r="H57" s="6" t="n">
        <v>875</v>
      </c>
      <c r="I57" s="7">
        <f>G57*H57</f>
        <v/>
      </c>
      <c r="J57" s="7">
        <f>I57</f>
        <v/>
      </c>
    </row>
    <row r="58">
      <c r="A58" s="8" t="n"/>
      <c r="B58" s="5" t="inlineStr">
        <is>
          <t>Vector store</t>
        </is>
      </c>
      <c r="C58" s="5" t="inlineStr">
        <is>
          <t>Virtual Machines (AKS nodes)</t>
        </is>
      </c>
      <c r="D58" s="5" t="inlineStr">
        <is>
          <t>Qdrant, single node</t>
        </is>
      </c>
      <c r="E58" s="5" t="inlineStr">
        <is>
          <t>UAE North</t>
        </is>
      </c>
      <c r="F58" s="5" t="inlineStr">
        <is>
          <t>E2s v5 (2 vCPU, 16 GB) + P10 128 GB</t>
        </is>
      </c>
      <c r="G58" s="5" t="n">
        <v>1</v>
      </c>
      <c r="H58" s="6" t="n">
        <v>132</v>
      </c>
      <c r="I58" s="7">
        <f>G58*H58</f>
        <v/>
      </c>
      <c r="J58" s="7">
        <f>I58</f>
        <v/>
      </c>
    </row>
    <row r="59">
      <c r="A59" s="8" t="n"/>
      <c r="B59" s="5" t="inlineStr">
        <is>
          <t>Event broker</t>
        </is>
      </c>
      <c r="C59" s="5" t="inlineStr">
        <is>
          <t>Virtual Machines (AKS nodes)</t>
        </is>
      </c>
      <c r="D59" s="5" t="inlineStr">
        <is>
          <t>RabbitMQ, single node, whichever broker production uses</t>
        </is>
      </c>
      <c r="E59" s="5" t="inlineStr">
        <is>
          <t>UAE North</t>
        </is>
      </c>
      <c r="F59" s="5" t="inlineStr">
        <is>
          <t>D2s v5 (2 vCPU, 8 GB). With Kafka in production, add an Event Hubs Standard namespace (about $30)</t>
        </is>
      </c>
      <c r="G59" s="5" t="n">
        <v>1</v>
      </c>
      <c r="H59" s="6" t="n">
        <v>88</v>
      </c>
      <c r="I59" s="7">
        <f>G59*H59</f>
        <v/>
      </c>
      <c r="J59" s="7">
        <f>I59</f>
        <v/>
      </c>
    </row>
    <row r="60">
      <c r="A60" s="8" t="n"/>
      <c r="B60" s="5" t="inlineStr">
        <is>
          <t>Event broker</t>
        </is>
      </c>
      <c r="C60" s="5" t="inlineStr">
        <is>
          <t>Managed Disks</t>
        </is>
      </c>
      <c r="D60" s="5" t="inlineStr">
        <is>
          <t>Broker storage</t>
        </is>
      </c>
      <c r="E60" s="5" t="inlineStr">
        <is>
          <t>UAE North</t>
        </is>
      </c>
      <c r="F60" s="5" t="inlineStr">
        <is>
          <t>Premium SSD P10 128 GB</t>
        </is>
      </c>
      <c r="G60" s="5" t="n">
        <v>1</v>
      </c>
      <c r="H60" s="6" t="n">
        <v>21.5</v>
      </c>
      <c r="I60" s="7">
        <f>G60*H60</f>
        <v/>
      </c>
      <c r="J60" s="7">
        <f>I60</f>
        <v/>
      </c>
    </row>
    <row r="61">
      <c r="A61" s="8" t="n"/>
      <c r="B61" s="5" t="inlineStr">
        <is>
          <t>Database</t>
        </is>
      </c>
      <c r="C61" s="5" t="inlineStr">
        <is>
          <t>Azure Database for PostgreSQL</t>
        </is>
      </c>
      <c r="D61" s="5" t="inlineStr">
        <is>
          <t>Control DB + test tenant DBs + AI log DB</t>
        </is>
      </c>
      <c r="E61" s="5" t="inlineStr">
        <is>
          <t>UAE North</t>
        </is>
      </c>
      <c r="F61" s="5" t="inlineStr">
        <is>
          <t>Flexible Server 16, General Purpose D2ds v5 + 256 GB, no standby (database_high_availability = false: pre-production only), no replicas</t>
        </is>
      </c>
      <c r="G61" s="5" t="n">
        <v>1</v>
      </c>
      <c r="H61" s="6" t="n">
        <v>196</v>
      </c>
      <c r="I61" s="7">
        <f>G61*H61</f>
        <v/>
      </c>
      <c r="J61" s="7">
        <f>I61</f>
        <v/>
      </c>
    </row>
    <row r="62">
      <c r="A62" s="8" t="n"/>
      <c r="B62" s="5" t="inlineStr">
        <is>
          <t>Cache</t>
        </is>
      </c>
      <c r="C62" s="5" t="inlineStr">
        <is>
          <t>Azure Managed Redis</t>
        </is>
      </c>
      <c r="D62" s="5" t="inlineStr">
        <is>
          <t>Test cache</t>
        </is>
      </c>
      <c r="E62" s="5" t="inlineStr">
        <is>
          <t>UAE North</t>
        </is>
      </c>
      <c r="F62" s="5" t="inlineStr">
        <is>
          <t>Balanced B1 (1 GB), one node (B0, about $53, if enough)</t>
        </is>
      </c>
      <c r="G62" s="5" t="n">
        <v>1</v>
      </c>
      <c r="H62" s="6" t="n">
        <v>133</v>
      </c>
      <c r="I62" s="7">
        <f>G62*H62</f>
        <v/>
      </c>
      <c r="J62" s="7">
        <f>I62</f>
        <v/>
      </c>
    </row>
    <row r="63">
      <c r="A63" s="8" t="n"/>
      <c r="B63" s="5" t="inlineStr">
        <is>
          <t>Storage</t>
        </is>
      </c>
      <c r="C63" s="5" t="inlineStr">
        <is>
          <t>Storage account (Blob, LRS)</t>
        </is>
      </c>
      <c r="D63" s="5" t="inlineStr">
        <is>
          <t>Test media and snapshots</t>
        </is>
      </c>
      <c r="E63" s="5" t="inlineStr">
        <is>
          <t>UAE North</t>
        </is>
      </c>
      <c r="F63" s="5" t="inlineStr">
        <is>
          <t>Hot tier, 500 GB</t>
        </is>
      </c>
      <c r="G63" s="5" t="n">
        <v>1</v>
      </c>
      <c r="H63" s="6" t="n">
        <v>15</v>
      </c>
      <c r="I63" s="7">
        <f>G63*H63</f>
        <v/>
      </c>
      <c r="J63" s="7">
        <f>I63</f>
        <v/>
      </c>
    </row>
    <row r="64">
      <c r="A64" s="8" t="n"/>
      <c r="B64" s="5" t="inlineStr">
        <is>
          <t>Security</t>
        </is>
      </c>
      <c r="C64" s="5" t="inlineStr">
        <is>
          <t>Key Vault</t>
        </is>
      </c>
      <c r="D64" s="5" t="inlineStr">
        <is>
          <t>Test secrets</t>
        </is>
      </c>
      <c r="E64" s="5" t="inlineStr">
        <is>
          <t>UAE North</t>
        </is>
      </c>
      <c r="F64" s="5" t="inlineStr">
        <is>
          <t>Standard</t>
        </is>
      </c>
      <c r="G64" s="5" t="n">
        <v>1</v>
      </c>
      <c r="H64" s="6" t="n">
        <v>5</v>
      </c>
      <c r="I64" s="7">
        <f>G64*H64</f>
        <v/>
      </c>
      <c r="J64" s="7">
        <f>I64</f>
        <v/>
      </c>
    </row>
    <row r="65">
      <c r="A65" s="8" t="n"/>
      <c r="B65" s="5" t="inlineStr">
        <is>
          <t>Network</t>
        </is>
      </c>
      <c r="C65" s="5" t="inlineStr">
        <is>
          <t>Front Door, NAT, Bastion, Registry</t>
        </is>
      </c>
      <c r="D65" s="5" t="inlineStr">
        <is>
          <t>Shared with production</t>
        </is>
      </c>
      <c r="E65" s="5" t="inlineStr">
        <is>
          <t>UAE North</t>
        </is>
      </c>
      <c r="F65" s="5" t="inlineStr">
        <is>
          <t>Separate routes and WAF policy</t>
        </is>
      </c>
      <c r="G65" s="5" t="n">
        <v>1</v>
      </c>
      <c r="H65" s="6" t="n">
        <v>0</v>
      </c>
      <c r="I65" s="7">
        <f>G65*H65</f>
        <v/>
      </c>
      <c r="J65" s="7">
        <f>I65</f>
        <v/>
      </c>
    </row>
    <row r="66">
      <c r="A66" s="9" t="n"/>
      <c r="B66" s="5" t="inlineStr">
        <is>
          <t>Operations</t>
        </is>
      </c>
      <c r="C66" s="5" t="inlineStr">
        <is>
          <t>Azure Monitor / Log Analytics</t>
        </is>
      </c>
      <c r="D66" s="5" t="inlineStr">
        <is>
          <t>Logs and metrics</t>
        </is>
      </c>
      <c r="E66" s="5" t="inlineStr">
        <is>
          <t>UAE North</t>
        </is>
      </c>
      <c r="F66" s="5" t="inlineStr">
        <is>
          <t>About 20 GB ingested a month</t>
        </is>
      </c>
      <c r="G66" s="5" t="n">
        <v>1</v>
      </c>
      <c r="H66" s="6" t="n">
        <v>70</v>
      </c>
      <c r="I66" s="7">
        <f>G66*H66</f>
        <v/>
      </c>
      <c r="J66" s="7">
        <f>I66</f>
        <v/>
      </c>
    </row>
    <row r="67">
      <c r="F67" s="10" t="inlineStr">
        <is>
          <t>USD - Total cost per month</t>
        </is>
      </c>
      <c r="I67" s="11">
        <f>SUM(I56:I66)</f>
        <v/>
      </c>
      <c r="J67" s="14">
        <f>SUM(J56:J66)</f>
        <v/>
      </c>
    </row>
    <row r="68">
      <c r="F68" s="10" t="inlineStr">
        <is>
          <t>AED - Total cost per month</t>
        </is>
      </c>
      <c r="I68" s="11">
        <f>I67*$C$3</f>
        <v/>
      </c>
      <c r="J68" s="14">
        <f>J67*$C$3</f>
        <v/>
      </c>
    </row>
    <row r="69">
      <c r="F69" s="10" t="inlineStr">
        <is>
          <t>AED - Total cost per year</t>
        </is>
      </c>
      <c r="I69" s="11">
        <f>I68*12</f>
        <v/>
      </c>
    </row>
    <row r="70">
      <c r="F70" s="10" t="inlineStr">
        <is>
          <t>AED - Total price per year with margin</t>
        </is>
      </c>
      <c r="I70" s="11">
        <f>I69*(1+$C$4)</f>
        <v/>
      </c>
    </row>
    <row r="72">
      <c r="B72" s="12" t="inlineStr">
        <is>
          <t>Notes - Pre-production</t>
        </is>
      </c>
    </row>
    <row r="73" ht="32" customHeight="1">
      <c r="B73" s="13" t="inlineStr">
        <is>
          <t>One pre-production environment for acceptance testing and client demos; development runs locally on docker-compose (deploy/*.yml) and on this cluster.</t>
        </is>
      </c>
    </row>
    <row r="74" ht="32" customHeight="1">
      <c r="B74" s="13" t="inlineStr">
        <is>
          <t>Zero-priced lines are covered by production.</t>
        </is>
      </c>
    </row>
  </sheetData>
  <mergeCells count="19">
    <mergeCell ref="B47:I47"/>
    <mergeCell ref="B46:I46"/>
    <mergeCell ref="B43:I43"/>
    <mergeCell ref="B52:I52"/>
    <mergeCell ref="A56:A66"/>
    <mergeCell ref="B48:I48"/>
    <mergeCell ref="B39:I39"/>
    <mergeCell ref="B42:I42"/>
    <mergeCell ref="B73:I73"/>
    <mergeCell ref="B44:I44"/>
    <mergeCell ref="B38:I38"/>
    <mergeCell ref="B49:I49"/>
    <mergeCell ref="B40:I40"/>
    <mergeCell ref="B74:I74"/>
    <mergeCell ref="A7:A31"/>
    <mergeCell ref="B51:I51"/>
    <mergeCell ref="B45:I45"/>
    <mergeCell ref="B41:I41"/>
    <mergeCell ref="B50:I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8" customWidth="1" min="4" max="4"/>
    <col width="11" customWidth="1" min="5" max="5"/>
    <col width="46" customWidth="1" min="6" max="6"/>
    <col width="6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TICVAI - Azure cloud specs and cost (infra with high availability)</t>
        </is>
      </c>
    </row>
    <row r="3">
      <c r="B3" t="inlineStr">
        <is>
          <t>AED per USD</t>
        </is>
      </c>
      <c r="C3" t="n">
        <v>3.6725</v>
      </c>
      <c r="D3" t="inlineStr">
        <is>
          <t>Edit the rate, the margin and any unit price; every total is a formula.</t>
        </is>
      </c>
    </row>
    <row r="4">
      <c r="B4" t="inlineStr">
        <is>
          <t>Margin</t>
        </is>
      </c>
      <c r="C4" s="2" t="n">
        <v>0.2</v>
      </c>
      <c r="D4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</t>
        </is>
      </c>
    </row>
    <row r="6">
      <c r="A6" s="3" t="inlineStr">
        <is>
          <t>Environment</t>
        </is>
      </c>
      <c r="B6" s="3" t="inlineStr">
        <is>
          <t>Group</t>
        </is>
      </c>
      <c r="C6" s="3" t="inlineStr">
        <is>
          <t>Azure service type</t>
        </is>
      </c>
      <c r="D6" s="3" t="inlineStr">
        <is>
          <t>Service description</t>
        </is>
      </c>
      <c r="E6" s="3" t="inlineStr">
        <is>
          <t>Region</t>
        </is>
      </c>
      <c r="F6" s="3" t="inlineStr">
        <is>
          <t>Specs description</t>
        </is>
      </c>
      <c r="G6" s="3" t="inlineStr">
        <is>
          <t>Qty</t>
        </is>
      </c>
      <c r="H6" s="3" t="inlineStr">
        <is>
          <t>Unit price (USD / month)</t>
        </is>
      </c>
      <c r="I6" s="3" t="inlineStr">
        <is>
          <t>Estimated monthly cost (USD)</t>
        </is>
      </c>
      <c r="J6" s="3" t="inlineStr">
        <is>
          <t>When solution is scaled up (USD)</t>
        </is>
      </c>
    </row>
    <row r="7">
      <c r="A7" s="4" t="inlineStr">
        <is>
          <t>Production</t>
        </is>
      </c>
      <c r="B7" s="5" t="inlineStr">
        <is>
          <t>Compute (AKS)</t>
        </is>
      </c>
      <c r="C7" s="5" t="inlineStr">
        <is>
          <t>Azure Kubernetes Service</t>
        </is>
      </c>
      <c r="D7" s="5" t="inlineStr">
        <is>
          <t>Control plane, Standard tier</t>
        </is>
      </c>
      <c r="E7" s="5" t="inlineStr">
        <is>
          <t>UAE North</t>
        </is>
      </c>
      <c r="F7" s="5" t="inlineStr">
        <is>
          <t>Uptime SLA, zone-redundant control plane</t>
        </is>
      </c>
      <c r="G7" s="5" t="n">
        <v>1</v>
      </c>
      <c r="H7" s="6" t="n">
        <v>73</v>
      </c>
      <c r="I7" s="7">
        <f>G7*H7</f>
        <v/>
      </c>
      <c r="J7" s="7">
        <f>I7</f>
        <v/>
      </c>
    </row>
    <row r="8">
      <c r="A8" s="8" t="n"/>
      <c r="B8" s="5" t="inlineStr">
        <is>
          <t>Compute (AKS)</t>
        </is>
      </c>
      <c r="C8" s="5" t="inlineStr">
        <is>
          <t>Virtual Machines (AKS nodes)</t>
        </is>
      </c>
      <c r="D8" s="5" t="inlineStr">
        <is>
          <t>System node pool (and the ingress gateway pods)</t>
        </is>
      </c>
      <c r="E8" s="5" t="inlineStr">
        <is>
          <t>UAE North</t>
        </is>
      </c>
      <c r="F8" s="5" t="inlineStr">
        <is>
          <t>D4s v5 (4 vCPU, 16 GB), Linux, autoscale 2-4 across zones 1-3 (Terraform); budgeted at 3, one per zone</t>
        </is>
      </c>
      <c r="G8" s="5" t="n">
        <v>3</v>
      </c>
      <c r="H8" s="6" t="n">
        <v>175</v>
      </c>
      <c r="I8" s="7">
        <f>G8*H8</f>
        <v/>
      </c>
      <c r="J8" s="7">
        <f>I8</f>
        <v/>
      </c>
    </row>
    <row r="9">
      <c r="A9" s="8" t="n"/>
      <c r="B9" s="5" t="inlineStr">
        <is>
          <t>Compute (AKS)</t>
        </is>
      </c>
      <c r="C9" s="5" t="inlineStr">
        <is>
          <t>Virtual Machines (AKS nodes)</t>
        </is>
      </c>
      <c r="D9" s="5" t="inlineStr">
        <is>
          <t>Workload pool: commerce, access, operations, workers</t>
        </is>
      </c>
      <c r="E9" s="5" t="inlineStr">
        <is>
          <t>UAE North</t>
        </is>
      </c>
      <c r="F9" s="5" t="inlineStr">
        <is>
          <t>D8s v5 (8 vCPU, 32 GB), Linux, autoscale 3-20 across zones. Carries the replica floors (ADR-0061): commerce 3 (one per zone), access 2, operations 2, workers 2 = 9 replicas, three to a node at about 1 vCPU each. Scaled up, 6 nodes hold a large cell's peak of 34 (commerce 17, operations 12, access 3, workers 2)</t>
        </is>
      </c>
      <c r="G9" s="5" t="n">
        <v>3</v>
      </c>
      <c r="H9" s="6" t="n">
        <v>350</v>
      </c>
      <c r="I9" s="7">
        <f>G9*H9</f>
        <v/>
      </c>
      <c r="J9" s="7">
        <f>6*H9</f>
        <v/>
      </c>
    </row>
    <row r="10">
      <c r="A10" s="8" t="n"/>
      <c r="B10" s="5" t="inlineStr">
        <is>
          <t>Compute (AKS)</t>
        </is>
      </c>
      <c r="C10" s="5" t="inlineStr">
        <is>
          <t>Virtual Machines (AKS nodes)</t>
        </is>
      </c>
      <c r="D10" s="5" t="inlineStr">
        <is>
          <t>AI GPU pool: ticvai-ai, BGE-M3 and its reranker, Presidio and the Arabic NER (CHG-R11-001)</t>
        </is>
      </c>
      <c r="E10" s="5" t="inlineStr">
        <is>
          <t>UAE North</t>
        </is>
      </c>
      <c r="F10" s="5" t="inlineStr">
        <is>
          <t>NV6ads A10 v5 (6 vCPU, 55 GB, 1/6 A10 with 4 GB), Linux, tainted, one node per zone. Carries the floors: real-time 2, interactive 1, batch 0 (about 1 vCPU a pod), Presidio on the CPU, and on the GPU at fp16 BGE-M3 (about 1.1 GB), its reranker (about 1.1 GB) and the Arabic NER (about 0.3 GB); a large cell's third real-time replica fits. No AI CPU pool and no Presidio pool. Sizing to confirm by the Sprint 2 benchmark; step up to NV12ads A10 v5 ($947.54) on CPU saturation or GPU memory pressure. AWS me-central-1: a g6.2xlarge-class node, price to confirm</t>
        </is>
      </c>
      <c r="G10" s="5" t="n">
        <v>2</v>
      </c>
      <c r="H10" s="6" t="n">
        <v>473.77</v>
      </c>
      <c r="I10" s="7">
        <f>G10*H10</f>
        <v/>
      </c>
      <c r="J10" s="7">
        <f>4*H10</f>
        <v/>
      </c>
    </row>
    <row r="11">
      <c r="A11" s="8" t="n"/>
      <c r="B11" s="5" t="inlineStr">
        <is>
          <t>Vector store</t>
        </is>
      </c>
      <c r="C11" s="5" t="inlineStr">
        <is>
          <t>Virtual Machines (AKS nodes)</t>
        </is>
      </c>
      <c r="D11" s="5" t="inlineStr">
        <is>
          <t>Qdrant cluster, one collection per tenant (ADR-0049)</t>
        </is>
      </c>
      <c r="E11" s="5" t="inlineStr">
        <is>
          <t>UAE North</t>
        </is>
      </c>
      <c r="F11" s="5" t="inlineStr">
        <is>
          <t>qdrant node pool: E4s v5 (4 vCPU, 32 GB) x3, one per zone, replication factor 2. Open-source Qdrant 1.16 or later from the official Helm chart; TLS; collection-scoped JWT per tenant</t>
        </is>
      </c>
      <c r="G11" s="5" t="n">
        <v>3</v>
      </c>
      <c r="H11" s="6" t="n">
        <v>225</v>
      </c>
      <c r="I11" s="7">
        <f>G11*H11</f>
        <v/>
      </c>
      <c r="J11" s="7">
        <f>I11</f>
        <v/>
      </c>
    </row>
    <row r="12">
      <c r="A12" s="8" t="n"/>
      <c r="B12" s="5" t="inlineStr">
        <is>
          <t>Vector store</t>
        </is>
      </c>
      <c r="C12" s="5" t="inlineStr">
        <is>
          <t>Managed Disks</t>
        </is>
      </c>
      <c r="D12" s="5" t="inlineStr">
        <is>
          <t>Qdrant storage</t>
        </is>
      </c>
      <c r="E12" s="5" t="inlineStr">
        <is>
          <t>UAE North</t>
        </is>
      </c>
      <c r="F12" s="5" t="inlineStr">
        <is>
          <t>Premium SSD P15 256 GB per node. Snapshots per collection go to Blob by a CronJob (azcopy)</t>
        </is>
      </c>
      <c r="G12" s="5" t="n">
        <v>3</v>
      </c>
      <c r="H12" s="6" t="n">
        <v>38</v>
      </c>
      <c r="I12" s="7">
        <f>G12*H12</f>
        <v/>
      </c>
      <c r="J12" s="7">
        <f>I12</f>
        <v/>
      </c>
    </row>
    <row r="13">
      <c r="A13" s="8" t="n"/>
      <c r="B13" s="5" t="inlineStr">
        <is>
          <t>Event broker</t>
        </is>
      </c>
      <c r="C13" s="5" t="inlineStr">
        <is>
          <t>Virtual Machines (AKS nodes)</t>
        </is>
      </c>
      <c r="D13" s="5" t="inlineStr">
        <is>
          <t>Broker cluster: RabbitMQ recommended, or Kafka (the client's choice, due 12 October; ADR-0057, proposed)</t>
        </is>
      </c>
      <c r="E13" s="5" t="inlineStr">
        <is>
          <t>UAE North</t>
        </is>
      </c>
      <c r="F13" s="5" t="inlineStr">
        <is>
          <t>broker node pool: D2s v5 (2 vCPU, 8 GB) x3, zones 1-3, self-run with the RabbitMQ Cluster Operator: the Terraform default (broker_self_hosted) and the fallback. The recommendation is CloudAMQP in UAE North, 3 nodes with PrivateLink, $396-696: it replaces this line and the disks (+$68 to +$368) and removes this pool (Defender about $41 less)</t>
        </is>
      </c>
      <c r="G13" s="5" t="n">
        <v>3</v>
      </c>
      <c r="H13" s="6" t="n">
        <v>88</v>
      </c>
      <c r="I13" s="7">
        <f>G13*H13</f>
        <v/>
      </c>
      <c r="J13" s="7">
        <f>I13</f>
        <v/>
      </c>
    </row>
    <row r="14">
      <c r="A14" s="8" t="n"/>
      <c r="B14" s="5" t="inlineStr">
        <is>
          <t>Event broker</t>
        </is>
      </c>
      <c r="C14" s="5" t="inlineStr">
        <is>
          <t>Managed Disks</t>
        </is>
      </c>
      <c r="D14" s="5" t="inlineStr">
        <is>
          <t>Broker storage: quorum queues or Kafka logs</t>
        </is>
      </c>
      <c r="E14" s="5" t="inlineStr">
        <is>
          <t>UAE North</t>
        </is>
      </c>
      <c r="F14" s="5" t="inlineStr">
        <is>
          <t>Premium SSD P10 128 GB per node</t>
        </is>
      </c>
      <c r="G14" s="5" t="n">
        <v>3</v>
      </c>
      <c r="H14" s="6" t="n">
        <v>21.5</v>
      </c>
      <c r="I14" s="7">
        <f>G14*H14</f>
        <v/>
      </c>
      <c r="J14" s="7">
        <f>I14</f>
        <v/>
      </c>
    </row>
    <row r="15">
      <c r="A15" s="8" t="n"/>
      <c r="B15" s="5" t="inlineStr">
        <is>
          <t>Database</t>
        </is>
      </c>
      <c r="C15" s="5" t="inlineStr">
        <is>
          <t>Azure Database for PostgreSQL</t>
        </is>
      </c>
      <c r="D15" s="5" t="inlineStr">
        <is>
          <t>Primary with zone-redundant standby: control DB + DB per tenant</t>
        </is>
      </c>
      <c r="E15" s="5" t="inlineStr">
        <is>
          <t>UAE North</t>
        </is>
      </c>
      <c r="F15" s="5" t="inlineStr">
        <is>
          <t>Flexible Server 16, General Purpose D4ds v5 (4 vCore, 16 GB) x2 (primary + standby in another zone). Zone-redundant on every production tier, the shared cell included (ADR-0060; Chinmay, 1 October). Priced the same as the same-zone HA the shared tier had before</t>
        </is>
      </c>
      <c r="G15" s="5" t="n">
        <v>2</v>
      </c>
      <c r="H15" s="6" t="n">
        <v>320</v>
      </c>
      <c r="I15" s="7">
        <f>G15*H15</f>
        <v/>
      </c>
      <c r="J15" s="7">
        <f>I15</f>
        <v/>
      </c>
    </row>
    <row r="16">
      <c r="A16" s="8" t="n"/>
      <c r="B16" s="5" t="inlineStr">
        <is>
          <t>Database</t>
        </is>
      </c>
      <c r="C16" s="5" t="inlineStr">
        <is>
          <t>Azure Database for PostgreSQL</t>
        </is>
      </c>
      <c r="D16" s="5" t="inlineStr">
        <is>
          <t>Storage, primary and standby</t>
        </is>
      </c>
      <c r="E16" s="5" t="inlineStr">
        <is>
          <t>UAE North</t>
        </is>
      </c>
      <c r="F16" s="5" t="inlineStr">
        <is>
          <t>256 GB Premium SSD each; PITR backup 35 days included up to storage size</t>
        </is>
      </c>
      <c r="G16" s="5" t="n">
        <v>2</v>
      </c>
      <c r="H16" s="6" t="n">
        <v>36</v>
      </c>
      <c r="I16" s="7">
        <f>G16*H16</f>
        <v/>
      </c>
      <c r="J16" s="7">
        <f>I16</f>
        <v/>
      </c>
    </row>
    <row r="17">
      <c r="A17" s="8" t="n"/>
      <c r="B17" s="5" t="inlineStr">
        <is>
          <t>Database</t>
        </is>
      </c>
      <c r="C17" s="5" t="inlineStr">
        <is>
          <t>Azure Database for PostgreSQL</t>
        </is>
      </c>
      <c r="D17" s="5" t="inlineStr">
        <is>
          <t>Read replicas (operational reads; gate checks never read here)</t>
        </is>
      </c>
      <c r="E17" s="5" t="inlineStr">
        <is>
          <t>UAE North</t>
        </is>
      </c>
      <c r="F17" s="5" t="inlineStr">
        <is>
          <t>General Purpose D4ds v5 + 256 GB each</t>
        </is>
      </c>
      <c r="G17" s="5" t="n">
        <v>2</v>
      </c>
      <c r="H17" s="6" t="n">
        <v>356</v>
      </c>
      <c r="I17" s="7">
        <f>G17*H17</f>
        <v/>
      </c>
      <c r="J17" s="7">
        <f>I17</f>
        <v/>
      </c>
    </row>
    <row r="18">
      <c r="A18" s="8" t="n"/>
      <c r="B18" s="5" t="inlineStr">
        <is>
          <t>Database</t>
        </is>
      </c>
      <c r="C18" s="5" t="inlineStr">
        <is>
          <t>Azure Database for PostgreSQL</t>
        </is>
      </c>
      <c r="D18" s="5" t="inlineStr">
        <is>
          <t>Reporting replica (lag-tolerant, no writes)</t>
        </is>
      </c>
      <c r="E18" s="5" t="inlineStr">
        <is>
          <t>UAE North</t>
        </is>
      </c>
      <c r="F18" s="5" t="inlineStr">
        <is>
          <t>General Purpose D2ds v5 (2 vCore, 8 GB) + 256 GB</t>
        </is>
      </c>
      <c r="G18" s="5" t="n">
        <v>1</v>
      </c>
      <c r="H18" s="6" t="n">
        <v>196</v>
      </c>
      <c r="I18" s="7">
        <f>G18*H18</f>
        <v/>
      </c>
      <c r="J18" s="7">
        <f>I18</f>
        <v/>
      </c>
    </row>
    <row r="19">
      <c r="A19" s="8" t="n"/>
      <c r="B19" s="5" t="inlineStr">
        <is>
          <t>Database</t>
        </is>
      </c>
      <c r="C19" s="5" t="inlineStr">
        <is>
          <t>Azure Database for PostgreSQL</t>
        </is>
      </c>
      <c r="D19" s="5" t="inlineStr">
        <is>
          <t>AI log database (decision records, prompts)</t>
        </is>
      </c>
      <c r="E19" s="5" t="inlineStr">
        <is>
          <t>UAE North</t>
        </is>
      </c>
      <c r="F19" s="5" t="inlineStr">
        <is>
          <t>General Purpose D4ds v5 + 1 TB. A writable server of its own (ADR-0020, amended by ADR-0049); not yet in the Terraform cell module</t>
        </is>
      </c>
      <c r="G19" s="5" t="n">
        <v>1</v>
      </c>
      <c r="H19" s="6" t="n">
        <v>460</v>
      </c>
      <c r="I19" s="7">
        <f>G19*H19</f>
        <v/>
      </c>
      <c r="J19" s="7">
        <f>I19</f>
        <v/>
      </c>
    </row>
    <row r="20">
      <c r="A20" s="8" t="n"/>
      <c r="B20" s="5" t="inlineStr">
        <is>
          <t>Cache</t>
        </is>
      </c>
      <c r="C20" s="5" t="inlineStr">
        <is>
          <t>Azure Managed Redis</t>
        </is>
      </c>
      <c r="D20" s="5" t="inlineStr">
        <is>
          <t>Sessions, idempotency keys, per-tenant request budgets (ADR-0064), waiting-room positions (ADR-0066), the one-second browse cache (ADR-0065, proposed), AI features</t>
        </is>
      </c>
      <c r="E20" s="5" t="inlineStr">
        <is>
          <t>UAE North</t>
        </is>
      </c>
      <c r="F20" s="5" t="inlineStr">
        <is>
          <t>Balanced B10 (12 GB), high availability, zone-redundant, private endpoint. $0.45045/h per instance; budgeted as two instance meters until the HA price is confirmed. Replaces Azure Cache for Redis (retiring; no new caches for new customers from 1 October 2026)</t>
        </is>
      </c>
      <c r="G20" s="5" t="n">
        <v>1</v>
      </c>
      <c r="H20" s="6" t="n">
        <v>658</v>
      </c>
      <c r="I20" s="7">
        <f>G20*H20</f>
        <v/>
      </c>
      <c r="J20" s="7">
        <f>I20</f>
        <v/>
      </c>
    </row>
    <row r="21">
      <c r="A21" s="8" t="n"/>
      <c r="B21" s="5" t="inlineStr">
        <is>
          <t>Storage</t>
        </is>
      </c>
      <c r="C21" s="5" t="inlineStr">
        <is>
          <t>Storage account (Blob, ZRS)</t>
        </is>
      </c>
      <c r="D21" s="5" t="inlineStr">
        <is>
          <t>Media (including venue 3D models and navigation files, ADR-0069), exports, Qdrant snapshots, database dumps</t>
        </is>
      </c>
      <c r="E21" s="5" t="inlineStr">
        <is>
          <t>UAE North</t>
        </is>
      </c>
      <c r="F21" s="5" t="inlineStr">
        <is>
          <t>Hot tier, zone-redundant, 2 TB, UAE North only</t>
        </is>
      </c>
      <c r="G21" s="5" t="n">
        <v>1</v>
      </c>
      <c r="H21" s="6" t="n">
        <v>60</v>
      </c>
      <c r="I21" s="7">
        <f>G21*H21</f>
        <v/>
      </c>
      <c r="J21" s="7">
        <f>I21</f>
        <v/>
      </c>
    </row>
    <row r="22">
      <c r="A22" s="8" t="n"/>
      <c r="B22" s="5" t="inlineStr">
        <is>
          <t>Storage</t>
        </is>
      </c>
      <c r="C22" s="5" t="inlineStr">
        <is>
          <t>Container Registry</t>
        </is>
      </c>
      <c r="D22" s="5" t="inlineStr">
        <is>
          <t>Images for the five deployables</t>
        </is>
      </c>
      <c r="E22" s="5" t="inlineStr">
        <is>
          <t>UAE North</t>
        </is>
      </c>
      <c r="F22" s="5" t="inlineStr">
        <is>
          <t>Standard</t>
        </is>
      </c>
      <c r="G22" s="5" t="n">
        <v>1</v>
      </c>
      <c r="H22" s="6" t="n">
        <v>20</v>
      </c>
      <c r="I22" s="7">
        <f>G22*H22</f>
        <v/>
      </c>
      <c r="J22" s="7">
        <f>I22</f>
        <v/>
      </c>
    </row>
    <row r="23">
      <c r="A23" s="8" t="n"/>
      <c r="B23" s="5" t="inlineStr">
        <is>
          <t>Security</t>
        </is>
      </c>
      <c r="C23" s="5" t="inlineStr">
        <is>
          <t>Key Vault</t>
        </is>
      </c>
      <c r="D23" s="5" t="inlineStr">
        <is>
          <t>Secrets (the Qdrant API key and the waiting-room token key, each read only by its issuer), per-tenant keys</t>
        </is>
      </c>
      <c r="E23" s="5" t="inlineStr">
        <is>
          <t>UAE North</t>
        </is>
      </c>
      <c r="F23" s="5" t="inlineStr">
        <is>
          <t>Premium: HSM-backed keys that wrap each tenant's data key for field-level encryption (ADR-0063, proposed); the Terraform sets Premium only on the isolated tier today. Scales with tenants: +$1.32 per tenant per month for an HSM key (about $264 at 200 tenants)</t>
        </is>
      </c>
      <c r="G23" s="5" t="n">
        <v>1</v>
      </c>
      <c r="H23" s="6" t="n">
        <v>10</v>
      </c>
      <c r="I23" s="7">
        <f>G23*H23</f>
        <v/>
      </c>
      <c r="J23" s="7">
        <f>I23</f>
        <v/>
      </c>
    </row>
    <row r="24">
      <c r="A24" s="8" t="n"/>
      <c r="B24" s="5" t="inlineStr">
        <is>
          <t>Network</t>
        </is>
      </c>
      <c r="C24" s="5" t="inlineStr">
        <is>
          <t>Azure Front Door</t>
        </is>
      </c>
      <c r="D24" s="5" t="inlineStr">
        <is>
          <t>Single entry for web, apps and APIs, with WAF; the on-sale waiting-room page</t>
        </is>
      </c>
      <c r="E24" s="5" t="inlineStr">
        <is>
          <t>Global</t>
        </is>
      </c>
      <c r="F24" s="5" t="inlineStr">
        <is>
          <t>Premium: WAF managed rules, bot protection and rate rules per client IP, Private Link origin; the waiting-room page is served from its cache (ADR-0066). Base $330 + 2 TB edge-to-client in zone 7 at $0.11/GB ($225) + about 50 million requests ($84, an assumption) + edge-to-origin</t>
        </is>
      </c>
      <c r="G24" s="5" t="n">
        <v>1</v>
      </c>
      <c r="H24" s="6" t="n">
        <v>650</v>
      </c>
      <c r="I24" s="7">
        <f>G24*H24</f>
        <v/>
      </c>
      <c r="J24" s="7">
        <f>2*H24</f>
        <v/>
      </c>
    </row>
    <row r="25">
      <c r="A25" s="8" t="n"/>
      <c r="B25" s="5" t="inlineStr">
        <is>
          <t>Network</t>
        </is>
      </c>
      <c r="C25" s="5" t="inlineStr">
        <is>
          <t>NAT Gateway</t>
        </is>
      </c>
      <c r="D25" s="5" t="inlineStr">
        <is>
          <t>One static egress IP for payment, e-invoicing and messaging allow-lists</t>
        </is>
      </c>
      <c r="E25" s="5" t="inlineStr">
        <is>
          <t>UAE North</t>
        </is>
      </c>
      <c r="F25" s="5" t="inlineStr">
        <is>
          <t>730 hours, 1 TB processed</t>
        </is>
      </c>
      <c r="G25" s="5" t="n">
        <v>1</v>
      </c>
      <c r="H25" s="6" t="n">
        <v>80</v>
      </c>
      <c r="I25" s="7">
        <f>G25*H25</f>
        <v/>
      </c>
      <c r="J25" s="7">
        <f>I25</f>
        <v/>
      </c>
    </row>
    <row r="26">
      <c r="A26" s="8" t="n"/>
      <c r="B26" s="5" t="inlineStr">
        <is>
          <t>Network</t>
        </is>
      </c>
      <c r="C26" s="5" t="inlineStr">
        <is>
          <t>Azure Bastion</t>
        </is>
      </c>
      <c r="D26" s="5" t="inlineStr">
        <is>
          <t>Administrative access only</t>
        </is>
      </c>
      <c r="E26" s="5" t="inlineStr">
        <is>
          <t>UAE North</t>
        </is>
      </c>
      <c r="F26" s="5" t="inlineStr">
        <is>
          <t>Basic, 730 hours. Standard ($212) if the AKS API is private and kubectl goes through Bastion</t>
        </is>
      </c>
      <c r="G26" s="5" t="n">
        <v>1</v>
      </c>
      <c r="H26" s="6" t="n">
        <v>139</v>
      </c>
      <c r="I26" s="7">
        <f>G26*H26</f>
        <v/>
      </c>
      <c r="J26" s="7">
        <f>I26</f>
        <v/>
      </c>
    </row>
    <row r="27">
      <c r="A27" s="8" t="n"/>
      <c r="B27" s="5" t="inlineStr">
        <is>
          <t>Network</t>
        </is>
      </c>
      <c r="C27" s="5" t="inlineStr">
        <is>
          <t>Private Link</t>
        </is>
      </c>
      <c r="D27" s="5" t="inlineStr">
        <is>
          <t>Private endpoints and private DNS zones</t>
        </is>
      </c>
      <c r="E27" s="5" t="inlineStr">
        <is>
          <t>UAE North</t>
        </is>
      </c>
      <c r="F27" s="5" t="inlineStr">
        <is>
          <t>About 6 endpoints</t>
        </is>
      </c>
      <c r="G27" s="5" t="n">
        <v>1</v>
      </c>
      <c r="H27" s="6" t="n">
        <v>50</v>
      </c>
      <c r="I27" s="7">
        <f>G27*H27</f>
        <v/>
      </c>
      <c r="J27" s="7">
        <f>I27</f>
        <v/>
      </c>
    </row>
    <row r="28">
      <c r="A28" s="8" t="n"/>
      <c r="B28" s="5" t="inlineStr">
        <is>
          <t>Network</t>
        </is>
      </c>
      <c r="C28" s="5" t="inlineStr">
        <is>
          <t>Bandwidth</t>
        </is>
      </c>
      <c r="D28" s="5" t="inlineStr">
        <is>
          <t>Egress through the NAT Gateway to providers</t>
        </is>
      </c>
      <c r="E28" s="5" t="inlineStr">
        <is>
          <t>UAE North</t>
        </is>
      </c>
      <c r="F28" s="5" t="inlineStr">
        <is>
          <t>First 100 GB free, then $0.181/GB. Azure origin to Front Door is free; the web traffic is in the Front Door line</t>
        </is>
      </c>
      <c r="G28" s="5" t="n">
        <v>1</v>
      </c>
      <c r="H28" s="6" t="n">
        <v>20</v>
      </c>
      <c r="I28" s="7">
        <f>G28*H28</f>
        <v/>
      </c>
      <c r="J28" s="7">
        <f>2*H28</f>
        <v/>
      </c>
    </row>
    <row r="29">
      <c r="A29" s="8" t="n"/>
      <c r="B29" s="5" t="inlineStr">
        <is>
          <t>Operations</t>
        </is>
      </c>
      <c r="C29" s="5" t="inlineStr">
        <is>
          <t>Azure Monitor / Log Analytics</t>
        </is>
      </c>
      <c r="D29" s="5" t="inlineStr">
        <is>
          <t>Logs, metrics, alerts, dashboards</t>
        </is>
      </c>
      <c r="E29" s="5" t="inlineStr">
        <is>
          <t>UAE North</t>
        </is>
      </c>
      <c r="F29" s="5" t="inlineStr">
        <is>
          <t>About 60 GB ingested a month</t>
        </is>
      </c>
      <c r="G29" s="5" t="n">
        <v>1</v>
      </c>
      <c r="H29" s="6" t="n">
        <v>200</v>
      </c>
      <c r="I29" s="7">
        <f>G29*H29</f>
        <v/>
      </c>
      <c r="J29" s="7">
        <f>I29</f>
        <v/>
      </c>
    </row>
    <row r="30">
      <c r="A30" s="8" t="n"/>
      <c r="B30" s="5" t="inlineStr">
        <is>
          <t>Operations</t>
        </is>
      </c>
      <c r="C30" s="5" t="inlineStr">
        <is>
          <t>Azure Backup</t>
        </is>
      </c>
      <c r="D30" s="5" t="inlineStr">
        <is>
          <t>Snapshots of Qdrant and broker disks</t>
        </is>
      </c>
      <c r="E30" s="5" t="inlineStr">
        <is>
          <t>UAE North</t>
        </is>
      </c>
      <c r="F30" s="5" t="inlineStr">
        <is>
          <t>Daily, 30 days, UAE North</t>
        </is>
      </c>
      <c r="G30" s="5" t="n">
        <v>1</v>
      </c>
      <c r="H30" s="6" t="n">
        <v>40</v>
      </c>
      <c r="I30" s="7">
        <f>G30*H30</f>
        <v/>
      </c>
      <c r="J30" s="7">
        <f>I30</f>
        <v/>
      </c>
    </row>
    <row r="31">
      <c r="A31" s="8" t="n"/>
      <c r="B31" s="5" t="inlineStr">
        <is>
          <t>Operations</t>
        </is>
      </c>
      <c r="C31" s="5" t="inlineStr">
        <is>
          <t>Microsoft Defender for Cloud</t>
        </is>
      </c>
      <c r="D31" s="5" t="inlineStr">
        <is>
          <t>Containers, databases and storage</t>
        </is>
      </c>
      <c r="E31" s="5" t="inlineStr">
        <is>
          <t>UAE North</t>
        </is>
      </c>
      <c r="F31" s="5" t="inlineStr">
        <is>
          <t>Defender for Containers: 70 vCores x $0.00941/h ($481); Defender for PostgreSQL: 5 servers x $15 ($75); Defender for Storage: about $10 per account, 2 accounts. Defender for Servers P1 instead of Containers: about $165 in all. Pick the plan, then re-price</t>
        </is>
      </c>
      <c r="G31" s="5" t="n">
        <v>1</v>
      </c>
      <c r="H31" s="6" t="n">
        <v>575</v>
      </c>
      <c r="I31" s="7">
        <f>G31*H31</f>
        <v/>
      </c>
      <c r="J31" s="7">
        <f>I31</f>
        <v/>
      </c>
    </row>
    <row r="32">
      <c r="A32" s="9" t="n"/>
      <c r="B32" s="5" t="inlineStr">
        <is>
          <t>AI (usage)</t>
        </is>
      </c>
      <c r="C32" s="5" t="inlineStr">
        <is>
          <t>Azure OpenAI</t>
        </is>
      </c>
      <c r="D32" s="5" t="inlineStr">
        <is>
          <t>Language model calls (re-billed per token, AI-D02)</t>
        </is>
      </c>
      <c r="E32" s="5" t="inlineStr">
        <is>
          <t>UAE North</t>
        </is>
      </c>
      <c r="F32" s="5" t="inlineStr">
        <is>
          <t>Usage-based; not a fixed hosting cost</t>
        </is>
      </c>
      <c r="G32" s="5" t="n">
        <v>1</v>
      </c>
      <c r="H32" s="6" t="n">
        <v>0</v>
      </c>
      <c r="I32" s="7">
        <f>G32*H32</f>
        <v/>
      </c>
      <c r="J32" s="7">
        <f>I32</f>
        <v/>
      </c>
    </row>
    <row r="33">
      <c r="F33" s="10" t="inlineStr">
        <is>
          <t>USD - Total cost per month</t>
        </is>
      </c>
      <c r="I33" s="11">
        <f>SUM(I7:I32)</f>
        <v/>
      </c>
      <c r="J33" s="14">
        <f>SUM(J7:J32)</f>
        <v/>
      </c>
    </row>
    <row r="34">
      <c r="F34" s="10" t="inlineStr">
        <is>
          <t>AED - Total cost per month</t>
        </is>
      </c>
      <c r="I34" s="11">
        <f>I33*$C$3</f>
        <v/>
      </c>
      <c r="J34" s="14">
        <f>J33*$C$3</f>
        <v/>
      </c>
    </row>
    <row r="35">
      <c r="F35" s="10" t="inlineStr">
        <is>
          <t>AED - Total cost per year</t>
        </is>
      </c>
      <c r="I35" s="11">
        <f>I34*12</f>
        <v/>
      </c>
    </row>
    <row r="36">
      <c r="F36" s="10" t="inlineStr">
        <is>
          <t>AED - Total price per year with margin</t>
        </is>
      </c>
      <c r="I36" s="11">
        <f>I35*(1+$C$4)</f>
        <v/>
      </c>
    </row>
    <row r="38">
      <c r="B38" s="12" t="inlineStr">
        <is>
          <t>Notes - Production</t>
        </is>
      </c>
    </row>
    <row r="39" ht="32" customHeight="1">
      <c r="B39" s="13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 Confirm each line in the Azure pricing calculator for UAE North before quoting; reserved instances (1 or 3 years) lower compute by roughly 30-55%.</t>
        </is>
      </c>
    </row>
    <row r="40" ht="32" customHeight="1">
      <c r="B40" s="13" t="inlineStr">
        <is>
          <t>Redis is Azure Managed Redis (ADR-0032, amended 30 September). Azure Cache for Redis retires on 30 September 2028 and new customers cannot create it from 1 October 2026, so the platform does not start on it.</t>
        </is>
      </c>
    </row>
    <row r="41" ht="32" customHeight="1">
      <c r="B41" s="13" t="inlineStr">
        <is>
          <t>Every store is hosted in the UAE, backups and disaster recovery included (DR in UAE Central, ADR-0060). Qdrant was approved on that condition (30 September).</t>
        </is>
      </c>
    </row>
    <row r="42" ht="32" customHeight="1">
      <c r="B42" s="13" t="inlineStr">
        <is>
          <t>One production cell serves many tenants: each tenant has its own PostgreSQL database and its own Qdrant collection with a collection-scoped key.</t>
        </is>
      </c>
    </row>
    <row r="43" ht="32" customHeight="1">
      <c r="B43" s="13" t="inlineStr">
        <is>
          <t>Node counts carry the replica floors of ADR-0061 (accepted 1 October): commerce 3, access 2, operations 2, workers 2, ticvai-ai real-time 2 (3 in a large cell), interactive 1, batch 0: 12 a cell, 13 in a large one. Pod sizes are assumptions until tools/bench.py measures them: about 1 vCPU for a .NET replica and about 1 vCPU for an AI pod, which mostly waits on the provider's streamed answer (AI design 4.3).</t>
        </is>
      </c>
    </row>
    <row r="44" ht="32" customHeight="1">
      <c r="B44" s="13" t="inlineStr">
        <is>
          <t>AI hosting (Chinmay, 4 October, CHG-R11-001): we host the embedding model (BGE-M3), its reranker, Presidio and the Arabic NER, together with the ticvai-ai pods, on one AI GPU node pool (NV6ads A10 v5, $473.77 a month a node; one node without HA, two with HA, one per zone); never an LLM, which stays with the providers (Core42 Compass, OpenAI UAE, BYOK). The 2 x D8s v5 AI CPU pool ($700) is gone: $8,047.50 became $8,295.04 with HA, $5,553.50 became $5,327.27 without. Defender for Containers is not re-priced for the GPU nodes' vCores (6 a node against the D8s v5's 8, so slightly lower). On AWS (me-central-1) the node is a g6.2xlarge-class instance (one L4, 8 vCPU), price and regional availability to confirm.</t>
        </is>
      </c>
    </row>
    <row r="45" ht="32" customHeight="1">
      <c r="B45" s="13" t="inlineStr">
        <is>
          <t>"When scaled up" doubles the autoscaled lines (workload and AI GPU pools, Front Door traffic, bandwidth) for busy periods such as a holiday peak. A large on-sale runs in its own burst environment (ADR-0035, amended 3 September; deploy/c-flash-sale.yml), not priced here.</t>
        </is>
      </c>
    </row>
    <row r="46" ht="32" customHeight="1">
      <c r="B46" s="13" t="inlineStr">
        <is>
          <t>Not included: Azure OpenAI tokens (billed per use), SMS, email and WhatsApp fees, payment provider fees, the e-invoicing provider (ADR-0062, proposed: the client names it), the DR module in UAE Central (bought per tenant), Apple and Google developer accounts, and venue hardware.</t>
        </is>
      </c>
    </row>
    <row r="47" ht="32" customHeight="1">
      <c r="B47" s="13" t="inlineStr">
        <is>
          <t>The venue edge node (one per venue, runs the gates and POS offline) is venue hardware, not Azure: recommended 8 cores, 32 GB RAM, 1 TB SSD, two units per venue for failover.</t>
        </is>
      </c>
    </row>
    <row r="48" ht="32" customHeight="1">
      <c r="B48" s="13" t="inlineStr">
        <is>
          <t>The event broker is the client's choice, due Monday 12 October (ADR-0057, proposed; docs/active/broker-decision-pack.md). We recommend RabbitMQ on CloudAMQP in UAE North: 3 nodes, $297-597 + $99 PrivateLink ($396-696), once 84codes confirms in writing that backups, settings and logs stay in UAE North. The sheet prices the fallback, RabbitMQ self-run on AKS (the Terraform default), because the plan is picked by the sprint-2 load test. Kafka alternatives: Event Hubs Standard with the Kafka endpoint $60-130 (10 topics per namespace); Premium 1 PU about $1,072; Confluent Cloud Enterprise about $1,280-1,640.</t>
        </is>
      </c>
    </row>
    <row r="49" ht="32" customHeight="1">
      <c r="B49" s="13" t="inlineStr">
        <is>
          <t>Front Door is a global service. It holds no personal data: it caches only public content (the on-sale waiting-room page, ADR-0066; public media such as the venue 3D models, ADR-0069) and decrypts at the edge nearest the user. Its WAF logs go to the UAE North Log Analytics workspace.</t>
        </is>
      </c>
    </row>
    <row r="50" ht="32" customHeight="1">
      <c r="B50" s="13" t="inlineStr">
        <is>
          <t>Zones 1-3 in UAE North: PostgreSQL zone-redundant standby (on every production tier, ADR-0060), Qdrant and broker three-node clusters, AKS node pools across zones, Azure Managed Redis with high availability (zone-redundant). This is the shape of a shared cell and of a dedicated one.</t>
        </is>
      </c>
    </row>
    <row r="51" ht="32" customHeight="1">
      <c r="B51" s="13" t="inlineStr">
        <is>
          <t>Availability targets per tier (ADR-0060, proposed, with the client): 99.99% for venue operations (gate, POS, KDS) measured locally; 99.95% for commerce in the cloud; 99.9% for back office and operations; 99.5% for AI and engagement. Only an active-active, two-region design reaches 99.99% for the whole cloud path.</t>
        </is>
      </c>
    </row>
    <row r="54">
      <c r="A54" s="3" t="inlineStr">
        <is>
          <t>Environment</t>
        </is>
      </c>
      <c r="B54" s="3" t="inlineStr">
        <is>
          <t>Group</t>
        </is>
      </c>
      <c r="C54" s="3" t="inlineStr">
        <is>
          <t>Azure service type</t>
        </is>
      </c>
      <c r="D54" s="3" t="inlineStr">
        <is>
          <t>Service description</t>
        </is>
      </c>
      <c r="E54" s="3" t="inlineStr">
        <is>
          <t>Region</t>
        </is>
      </c>
      <c r="F54" s="3" t="inlineStr">
        <is>
          <t>Specs description</t>
        </is>
      </c>
      <c r="G54" s="3" t="inlineStr">
        <is>
          <t>Qty</t>
        </is>
      </c>
      <c r="H54" s="3" t="inlineStr">
        <is>
          <t>Unit price (USD / month)</t>
        </is>
      </c>
      <c r="I54" s="3" t="inlineStr">
        <is>
          <t>Estimated monthly cost (USD)</t>
        </is>
      </c>
      <c r="J54" s="3" t="inlineStr">
        <is>
          <t>When solution is scaled up (USD)</t>
        </is>
      </c>
    </row>
    <row r="55">
      <c r="A55" s="4" t="inlineStr">
        <is>
          <t>Pre-production</t>
        </is>
      </c>
      <c r="B55" s="5" t="inlineStr">
        <is>
          <t>Compute (AKS)</t>
        </is>
      </c>
      <c r="C55" s="5" t="inlineStr">
        <is>
          <t>Azure Kubernetes Service</t>
        </is>
      </c>
      <c r="D55" s="5" t="inlineStr">
        <is>
          <t>Control plane</t>
        </is>
      </c>
      <c r="E55" s="5" t="inlineStr">
        <is>
          <t>UAE North</t>
        </is>
      </c>
      <c r="F55" s="5" t="inlineStr">
        <is>
          <t>Free tier</t>
        </is>
      </c>
      <c r="G55" s="5" t="n">
        <v>1</v>
      </c>
      <c r="H55" s="6" t="n">
        <v>0</v>
      </c>
      <c r="I55" s="7">
        <f>G55*H55</f>
        <v/>
      </c>
      <c r="J55" s="7">
        <f>I55</f>
        <v/>
      </c>
    </row>
    <row r="56">
      <c r="A56" s="8" t="n"/>
      <c r="B56" s="5" t="inlineStr">
        <is>
          <t>Compute (AKS)</t>
        </is>
      </c>
      <c r="C56" s="5" t="inlineStr">
        <is>
          <t>Virtual Machines (AKS nodes)</t>
        </is>
      </c>
      <c r="D56" s="5" t="inlineStr">
        <is>
          <t>System and workload nodes, all five deployables</t>
        </is>
      </c>
      <c r="E56" s="5" t="inlineStr">
        <is>
          <t>UAE North</t>
        </is>
      </c>
      <c r="F56" s="5" t="inlineStr">
        <is>
          <t>D8s v5 (8 vCPU, 32 GB) x2 + D4s v5 x1, Linux. One replica per unit: the ADR-0061 floors are for production cells</t>
        </is>
      </c>
      <c r="G56" s="5" t="n">
        <v>1</v>
      </c>
      <c r="H56" s="6" t="n">
        <v>875</v>
      </c>
      <c r="I56" s="7">
        <f>G56*H56</f>
        <v/>
      </c>
      <c r="J56" s="7">
        <f>I56</f>
        <v/>
      </c>
    </row>
    <row r="57">
      <c r="A57" s="8" t="n"/>
      <c r="B57" s="5" t="inlineStr">
        <is>
          <t>Vector store</t>
        </is>
      </c>
      <c r="C57" s="5" t="inlineStr">
        <is>
          <t>Virtual Machines (AKS nodes)</t>
        </is>
      </c>
      <c r="D57" s="5" t="inlineStr">
        <is>
          <t>Qdrant, single node</t>
        </is>
      </c>
      <c r="E57" s="5" t="inlineStr">
        <is>
          <t>UAE North</t>
        </is>
      </c>
      <c r="F57" s="5" t="inlineStr">
        <is>
          <t>E2s v5 (2 vCPU, 16 GB) + P10 128 GB</t>
        </is>
      </c>
      <c r="G57" s="5" t="n">
        <v>1</v>
      </c>
      <c r="H57" s="6" t="n">
        <v>132</v>
      </c>
      <c r="I57" s="7">
        <f>G57*H57</f>
        <v/>
      </c>
      <c r="J57" s="7">
        <f>I57</f>
        <v/>
      </c>
    </row>
    <row r="58">
      <c r="A58" s="8" t="n"/>
      <c r="B58" s="5" t="inlineStr">
        <is>
          <t>Event broker</t>
        </is>
      </c>
      <c r="C58" s="5" t="inlineStr">
        <is>
          <t>Virtual Machines (AKS nodes)</t>
        </is>
      </c>
      <c r="D58" s="5" t="inlineStr">
        <is>
          <t>RabbitMQ, single node, whichever broker production uses</t>
        </is>
      </c>
      <c r="E58" s="5" t="inlineStr">
        <is>
          <t>UAE North</t>
        </is>
      </c>
      <c r="F58" s="5" t="inlineStr">
        <is>
          <t>D2s v5 (2 vCPU, 8 GB). With Kafka in production, add an Event Hubs Standard namespace (about $30)</t>
        </is>
      </c>
      <c r="G58" s="5" t="n">
        <v>1</v>
      </c>
      <c r="H58" s="6" t="n">
        <v>88</v>
      </c>
      <c r="I58" s="7">
        <f>G58*H58</f>
        <v/>
      </c>
      <c r="J58" s="7">
        <f>I58</f>
        <v/>
      </c>
    </row>
    <row r="59">
      <c r="A59" s="8" t="n"/>
      <c r="B59" s="5" t="inlineStr">
        <is>
          <t>Event broker</t>
        </is>
      </c>
      <c r="C59" s="5" t="inlineStr">
        <is>
          <t>Managed Disks</t>
        </is>
      </c>
      <c r="D59" s="5" t="inlineStr">
        <is>
          <t>Broker storage</t>
        </is>
      </c>
      <c r="E59" s="5" t="inlineStr">
        <is>
          <t>UAE North</t>
        </is>
      </c>
      <c r="F59" s="5" t="inlineStr">
        <is>
          <t>Premium SSD P10 128 GB</t>
        </is>
      </c>
      <c r="G59" s="5" t="n">
        <v>1</v>
      </c>
      <c r="H59" s="6" t="n">
        <v>21.5</v>
      </c>
      <c r="I59" s="7">
        <f>G59*H59</f>
        <v/>
      </c>
      <c r="J59" s="7">
        <f>I59</f>
        <v/>
      </c>
    </row>
    <row r="60">
      <c r="A60" s="8" t="n"/>
      <c r="B60" s="5" t="inlineStr">
        <is>
          <t>Database</t>
        </is>
      </c>
      <c r="C60" s="5" t="inlineStr">
        <is>
          <t>Azure Database for PostgreSQL</t>
        </is>
      </c>
      <c r="D60" s="5" t="inlineStr">
        <is>
          <t>Control DB + test tenant DBs + AI log DB</t>
        </is>
      </c>
      <c r="E60" s="5" t="inlineStr">
        <is>
          <t>UAE North</t>
        </is>
      </c>
      <c r="F60" s="5" t="inlineStr">
        <is>
          <t>Flexible Server 16, General Purpose D2ds v5 + 256 GB, no standby (database_high_availability = false: pre-production only), no replicas</t>
        </is>
      </c>
      <c r="G60" s="5" t="n">
        <v>1</v>
      </c>
      <c r="H60" s="6" t="n">
        <v>196</v>
      </c>
      <c r="I60" s="7">
        <f>G60*H60</f>
        <v/>
      </c>
      <c r="J60" s="7">
        <f>I60</f>
        <v/>
      </c>
    </row>
    <row r="61">
      <c r="A61" s="8" t="n"/>
      <c r="B61" s="5" t="inlineStr">
        <is>
          <t>Cache</t>
        </is>
      </c>
      <c r="C61" s="5" t="inlineStr">
        <is>
          <t>Azure Managed Redis</t>
        </is>
      </c>
      <c r="D61" s="5" t="inlineStr">
        <is>
          <t>Test cache</t>
        </is>
      </c>
      <c r="E61" s="5" t="inlineStr">
        <is>
          <t>UAE North</t>
        </is>
      </c>
      <c r="F61" s="5" t="inlineStr">
        <is>
          <t>Balanced B1 (1 GB), one node (B0, about $53, if enough)</t>
        </is>
      </c>
      <c r="G61" s="5" t="n">
        <v>1</v>
      </c>
      <c r="H61" s="6" t="n">
        <v>133</v>
      </c>
      <c r="I61" s="7">
        <f>G61*H61</f>
        <v/>
      </c>
      <c r="J61" s="7">
        <f>I61</f>
        <v/>
      </c>
    </row>
    <row r="62">
      <c r="A62" s="8" t="n"/>
      <c r="B62" s="5" t="inlineStr">
        <is>
          <t>Storage</t>
        </is>
      </c>
      <c r="C62" s="5" t="inlineStr">
        <is>
          <t>Storage account (Blob, LRS)</t>
        </is>
      </c>
      <c r="D62" s="5" t="inlineStr">
        <is>
          <t>Test media and snapshots</t>
        </is>
      </c>
      <c r="E62" s="5" t="inlineStr">
        <is>
          <t>UAE North</t>
        </is>
      </c>
      <c r="F62" s="5" t="inlineStr">
        <is>
          <t>Hot tier, 500 GB</t>
        </is>
      </c>
      <c r="G62" s="5" t="n">
        <v>1</v>
      </c>
      <c r="H62" s="6" t="n">
        <v>15</v>
      </c>
      <c r="I62" s="7">
        <f>G62*H62</f>
        <v/>
      </c>
      <c r="J62" s="7">
        <f>I62</f>
        <v/>
      </c>
    </row>
    <row r="63">
      <c r="A63" s="8" t="n"/>
      <c r="B63" s="5" t="inlineStr">
        <is>
          <t>Security</t>
        </is>
      </c>
      <c r="C63" s="5" t="inlineStr">
        <is>
          <t>Key Vault</t>
        </is>
      </c>
      <c r="D63" s="5" t="inlineStr">
        <is>
          <t>Test secrets</t>
        </is>
      </c>
      <c r="E63" s="5" t="inlineStr">
        <is>
          <t>UAE North</t>
        </is>
      </c>
      <c r="F63" s="5" t="inlineStr">
        <is>
          <t>Standard</t>
        </is>
      </c>
      <c r="G63" s="5" t="n">
        <v>1</v>
      </c>
      <c r="H63" s="6" t="n">
        <v>5</v>
      </c>
      <c r="I63" s="7">
        <f>G63*H63</f>
        <v/>
      </c>
      <c r="J63" s="7">
        <f>I63</f>
        <v/>
      </c>
    </row>
    <row r="64">
      <c r="A64" s="8" t="n"/>
      <c r="B64" s="5" t="inlineStr">
        <is>
          <t>Network</t>
        </is>
      </c>
      <c r="C64" s="5" t="inlineStr">
        <is>
          <t>Front Door, NAT, Bastion, Registry</t>
        </is>
      </c>
      <c r="D64" s="5" t="inlineStr">
        <is>
          <t>Shared with production</t>
        </is>
      </c>
      <c r="E64" s="5" t="inlineStr">
        <is>
          <t>UAE North</t>
        </is>
      </c>
      <c r="F64" s="5" t="inlineStr">
        <is>
          <t>Separate routes and WAF policy</t>
        </is>
      </c>
      <c r="G64" s="5" t="n">
        <v>1</v>
      </c>
      <c r="H64" s="6" t="n">
        <v>0</v>
      </c>
      <c r="I64" s="7">
        <f>G64*H64</f>
        <v/>
      </c>
      <c r="J64" s="7">
        <f>I64</f>
        <v/>
      </c>
    </row>
    <row r="65">
      <c r="A65" s="9" t="n"/>
      <c r="B65" s="5" t="inlineStr">
        <is>
          <t>Operations</t>
        </is>
      </c>
      <c r="C65" s="5" t="inlineStr">
        <is>
          <t>Azure Monitor / Log Analytics</t>
        </is>
      </c>
      <c r="D65" s="5" t="inlineStr">
        <is>
          <t>Logs and metrics</t>
        </is>
      </c>
      <c r="E65" s="5" t="inlineStr">
        <is>
          <t>UAE North</t>
        </is>
      </c>
      <c r="F65" s="5" t="inlineStr">
        <is>
          <t>About 20 GB ingested a month</t>
        </is>
      </c>
      <c r="G65" s="5" t="n">
        <v>1</v>
      </c>
      <c r="H65" s="6" t="n">
        <v>70</v>
      </c>
      <c r="I65" s="7">
        <f>G65*H65</f>
        <v/>
      </c>
      <c r="J65" s="7">
        <f>I65</f>
        <v/>
      </c>
    </row>
    <row r="66">
      <c r="F66" s="10" t="inlineStr">
        <is>
          <t>USD - Total cost per month</t>
        </is>
      </c>
      <c r="I66" s="11">
        <f>SUM(I55:I65)</f>
        <v/>
      </c>
      <c r="J66" s="14">
        <f>SUM(J55:J65)</f>
        <v/>
      </c>
    </row>
    <row r="67">
      <c r="F67" s="10" t="inlineStr">
        <is>
          <t>AED - Total cost per month</t>
        </is>
      </c>
      <c r="I67" s="11">
        <f>I66*$C$3</f>
        <v/>
      </c>
      <c r="J67" s="14">
        <f>J66*$C$3</f>
        <v/>
      </c>
    </row>
    <row r="68">
      <c r="F68" s="10" t="inlineStr">
        <is>
          <t>AED - Total cost per year</t>
        </is>
      </c>
      <c r="I68" s="11">
        <f>I67*12</f>
        <v/>
      </c>
    </row>
    <row r="69">
      <c r="F69" s="10" t="inlineStr">
        <is>
          <t>AED - Total price per year with margin</t>
        </is>
      </c>
      <c r="I69" s="11">
        <f>I68*(1+$C$4)</f>
        <v/>
      </c>
    </row>
    <row r="71">
      <c r="B71" s="12" t="inlineStr">
        <is>
          <t>Notes - Pre-production</t>
        </is>
      </c>
    </row>
    <row r="72" ht="32" customHeight="1">
      <c r="B72" s="13" t="inlineStr">
        <is>
          <t>One pre-production environment for acceptance testing and client demos; development runs locally on docker-compose (deploy/*.yml) and on this cluster.</t>
        </is>
      </c>
    </row>
    <row r="73" ht="32" customHeight="1">
      <c r="B73" s="13" t="inlineStr">
        <is>
          <t>Zero-priced lines are covered by production.</t>
        </is>
      </c>
    </row>
  </sheetData>
  <mergeCells count="17">
    <mergeCell ref="B73:I73"/>
    <mergeCell ref="B44:I44"/>
    <mergeCell ref="B48:I48"/>
    <mergeCell ref="B45:I45"/>
    <mergeCell ref="B39:I39"/>
    <mergeCell ref="A55:A65"/>
    <mergeCell ref="B47:I47"/>
    <mergeCell ref="B51:I51"/>
    <mergeCell ref="B46:I46"/>
    <mergeCell ref="B42:I42"/>
    <mergeCell ref="B72:I72"/>
    <mergeCell ref="A7:A32"/>
    <mergeCell ref="B43:I43"/>
    <mergeCell ref="B41:I41"/>
    <mergeCell ref="B49:I49"/>
    <mergeCell ref="B50:I50"/>
    <mergeCell ref="B40:I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60" customWidth="1" min="3" max="3"/>
    <col width="34" customWidth="1" min="4" max="4"/>
    <col width="40" customWidth="1" min="5" max="5"/>
  </cols>
  <sheetData>
    <row r="1">
      <c r="A1" s="15" t="inlineStr">
        <is>
          <t>Deployable</t>
        </is>
      </c>
      <c r="B1" s="15" t="inlineStr">
        <is>
          <t>What it is</t>
        </is>
      </c>
      <c r="C1" s="15" t="inlineStr">
        <is>
          <t>Modules</t>
        </is>
      </c>
      <c r="D1" s="15" t="inlineStr">
        <is>
          <t>Runs on</t>
        </is>
      </c>
      <c r="E1" s="15" t="inlineStr">
        <is>
          <t>Replica floor (ADR-0061)</t>
        </is>
      </c>
    </row>
    <row r="2">
      <c r="A2" s="13" t="inlineStr">
        <is>
          <t>commerce</t>
        </is>
      </c>
      <c r="B2" s="13" t="inlineStr">
        <is>
          <t>The sale path: order, payment and ledger commit in one transaction. Autoscales on requests per second.</t>
        </is>
      </c>
      <c r="C2" s="13" t="inlineStr">
        <is>
          <t>Catalogue, Identity, Ledger, Order, Tenancy, Wallet</t>
        </is>
      </c>
      <c r="D2" s="13" t="inlineStr">
        <is>
          <t>Workload pool</t>
        </is>
      </c>
      <c r="E2" s="13" t="inlineStr">
        <is>
          <t>3: One per zone: the sale path survives a zone loss without a cold start</t>
        </is>
      </c>
    </row>
    <row r="3">
      <c r="A3" s="13" t="inlineStr">
        <is>
          <t>access</t>
        </is>
      </c>
      <c r="B3" s="13" t="inlineStr">
        <is>
          <t>The gate hot path, flat high rate, offline package. The same module code builds the venue edge node.</t>
        </is>
      </c>
      <c r="C3" s="13" t="inlineStr">
        <is>
          <t>Access</t>
        </is>
      </c>
      <c r="D3" s="13" t="inlineStr">
        <is>
          <t>Workload pool (and the venue edge node)</t>
        </is>
      </c>
      <c r="E3" s="13" t="inlineStr">
        <is>
          <t>2: Cloud side only; the gate decides locally (ADR-0013)</t>
        </is>
      </c>
    </row>
    <row r="4">
      <c r="A4" s="13" t="inlineStr">
        <is>
          <t>operations</t>
        </is>
      </c>
      <c r="B4" s="13" t="inlineStr">
        <is>
          <t>Back office and engagement. Nothing that takes money waits on it.</t>
        </is>
      </c>
      <c r="C4" s="13" t="inlineStr">
        <is>
          <t>CrossRegion, Fnb, Inventory, Marketing, Platform, Reporting, Retail, VenueOps, WhiteLabel</t>
        </is>
      </c>
      <c r="D4" s="13" t="inlineStr">
        <is>
          <t>Workload pool</t>
        </is>
      </c>
      <c r="E4" s="13" t="inlineStr">
        <is>
          <t>2: Back office tolerates a short scale-out</t>
        </is>
      </c>
    </row>
    <row r="5">
      <c r="A5" s="13" t="inlineStr">
        <is>
          <t>ticvai-ai</t>
        </is>
      </c>
      <c r="B5" s="13" t="inlineStr">
        <is>
          <t>AI, in Python, isolated (ADR-0020): three process groups, read-only on the transactional schemas.</t>
        </is>
      </c>
      <c r="C5" s="13" t="inlineStr">
        <is>
          <t>Ai</t>
        </is>
      </c>
      <c r="D5" s="13" t="inlineStr">
        <is>
          <t>AI GPU pool (tainted)</t>
        </is>
      </c>
      <c r="E5" s="13" t="inlineStr">
        <is>
          <t>3: ai-realtime 2; ai-interactive 1; ai-batch 0 (real-time 3 in a large cell)</t>
        </is>
      </c>
    </row>
    <row r="6">
      <c r="A6" s="13" t="inlineStr">
        <is>
          <t>workers</t>
        </is>
      </c>
      <c r="B6" s="13" t="inlineStr">
        <is>
          <t>No module of its own: the outbox relay (one per region, ADR-0058), every module's event consumers and scheduled jobs. Scales on queue depth.</t>
        </is>
      </c>
      <c r="C6" s="13" t="inlineStr">
        <is>
          <t>-</t>
        </is>
      </c>
      <c r="D6" s="13" t="inlineStr">
        <is>
          <t>Workload pool</t>
        </is>
      </c>
      <c r="E6" s="13" t="inlineStr">
        <is>
          <t>2: Relay leases fail over between replicas (ADR-0058, amended 1 October)</t>
        </is>
      </c>
    </row>
    <row r="7">
      <c r="A7" s="13" t="inlineStr">
        <is>
          <t>Total at the floor</t>
        </is>
      </c>
      <c r="B7" s="13" t="inlineStr"/>
      <c r="C7" s="13" t="inlineStr"/>
      <c r="D7" s="13" t="inlineStr"/>
      <c r="E7" s="13" t="inlineStr">
        <is>
          <t>12 a cell; 13 in a large cell</t>
        </is>
      </c>
    </row>
    <row r="8">
      <c r="A8" s="13" t="n"/>
      <c r="B8" s="13" t="n"/>
      <c r="C8" s="13" t="n"/>
      <c r="D8" s="13" t="n"/>
      <c r="E8" s="13" t="n"/>
    </row>
    <row r="9">
      <c r="A9" s="13" t="inlineStr">
        <is>
          <t>Data stores</t>
        </is>
      </c>
      <c r="B9" s="13" t="inlineStr"/>
      <c r="C9" s="13" t="inlineStr"/>
      <c r="D9" s="13" t="inlineStr"/>
      <c r="E9" s="13" t="inlineStr"/>
    </row>
    <row r="10">
      <c r="A10" s="13" t="inlineStr">
        <is>
          <t>PostgreSQL 16</t>
        </is>
      </c>
      <c r="B10" s="13" t="inlineStr">
        <is>
          <t>Control DB and one database per tenant, zone-redundant on every production tier (ADR-0060); read replicas; reporting replica; AI log DB</t>
        </is>
      </c>
      <c r="C10" s="13" t="inlineStr"/>
      <c r="D10" s="13" t="inlineStr">
        <is>
          <t>Flexible Server</t>
        </is>
      </c>
      <c r="E10" s="13" t="inlineStr"/>
    </row>
    <row r="11">
      <c r="A11" s="13" t="inlineStr">
        <is>
          <t>Qdrant</t>
        </is>
      </c>
      <c r="B11" s="13" t="inlineStr">
        <is>
          <t>Vectors; one collection per tenant, collection-scoped JWT (ADR-0049)</t>
        </is>
      </c>
      <c r="C11" s="13" t="inlineStr"/>
      <c r="D11" s="13" t="inlineStr">
        <is>
          <t>qdrant pool</t>
        </is>
      </c>
      <c r="E11" s="13" t="inlineStr"/>
    </row>
    <row r="12">
      <c r="A12" s="13" t="inlineStr">
        <is>
          <t>Redis</t>
        </is>
      </c>
      <c r="B12" s="13" t="inlineStr">
        <is>
          <t>Sessions, idempotency, per-tenant request budgets (ADR-0064), waiting-room positions (ADR-0066), the one-second browse cache (ADR-0065, proposed)</t>
        </is>
      </c>
      <c r="C12" s="13" t="inlineStr"/>
      <c r="D12" s="13" t="inlineStr">
        <is>
          <t>Azure Managed Redis</t>
        </is>
      </c>
      <c r="E12" s="13" t="inlineStr"/>
    </row>
    <row r="13">
      <c r="A13" s="13" t="inlineStr">
        <is>
          <t>Event broker</t>
        </is>
      </c>
      <c r="B13" s="13" t="inlineStr">
        <is>
          <t>RabbitMQ recommended (CloudAMQP, UAE North) or Kafka, the client's choice by 12 October (ADR-0057); outbox relay per region in workers (ADR-0058, amended 1 October)</t>
        </is>
      </c>
      <c r="C13" s="13" t="inlineStr"/>
      <c r="D13" s="13" t="inlineStr">
        <is>
          <t>broker pool while self-run; Private Link if managed</t>
        </is>
      </c>
      <c r="E13" s="13" t="inlineStr"/>
    </row>
    <row r="14">
      <c r="A14" s="13" t="inlineStr">
        <is>
          <t>Blob storage</t>
        </is>
      </c>
      <c r="B14" s="13" t="inlineStr">
        <is>
          <t>Media (including venue 3D models and navigation files, ADR-0069), exports, snapshots, dumps</t>
        </is>
      </c>
      <c r="C14" s="13" t="inlineStr"/>
      <c r="D14" s="13" t="inlineStr">
        <is>
          <t>Storage account</t>
        </is>
      </c>
      <c r="E14" s="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70" customWidth="1" min="4" max="4"/>
  </cols>
  <sheetData>
    <row r="1">
      <c r="A1" s="15" t="inlineStr">
        <is>
          <t>Subnet</t>
        </is>
      </c>
      <c r="B1" s="15" t="inlineStr">
        <is>
          <t>Address range</t>
        </is>
      </c>
      <c r="C1" s="15" t="inlineStr">
        <is>
          <t>Holds</t>
        </is>
      </c>
      <c r="D1" s="15" t="inlineStr">
        <is>
          <t>Rule</t>
        </is>
      </c>
    </row>
    <row r="2">
      <c r="A2" s="13" t="inlineStr">
        <is>
          <t>snet-ingress</t>
        </is>
      </c>
      <c r="B2" s="13" t="inlineStr">
        <is>
          <t>10.20.0.0/24</t>
        </is>
      </c>
      <c r="C2" s="13" t="inlineStr">
        <is>
          <t>Internal load balancer and Private Link service for Front Door</t>
        </is>
      </c>
      <c r="D2" s="13" t="inlineStr">
        <is>
          <t>NSG: no Internet inbound; Private Link service network policies disabled</t>
        </is>
      </c>
    </row>
    <row r="3">
      <c r="A3" s="13" t="inlineStr">
        <is>
          <t>snet-agc</t>
        </is>
      </c>
      <c r="B3" s="13" t="inlineStr">
        <is>
          <t>10.20.2.0/24</t>
        </is>
      </c>
      <c r="C3" s="13" t="inlineStr">
        <is>
          <t>Reserved: Application Gateway for Containers, only if chosen over App Routing</t>
        </is>
      </c>
      <c r="D3" s="13" t="inlineStr">
        <is>
          <t>Not created; delegated subnet if used</t>
        </is>
      </c>
    </row>
    <row r="4">
      <c r="A4" s="13" t="inlineStr">
        <is>
          <t>snet-aks-system</t>
        </is>
      </c>
      <c r="B4" s="13" t="inlineStr">
        <is>
          <t>10.20.4.0/22</t>
        </is>
      </c>
      <c r="C4" s="13" t="inlineStr">
        <is>
          <t>AKS system pool, and the ingress gateway pods (they tolerate its taint)</t>
        </is>
      </c>
      <c r="D4" s="13" t="inlineStr">
        <is>
          <t>No NSG; egress through the NAT Gateway</t>
        </is>
      </c>
    </row>
    <row r="5">
      <c r="A5" s="13" t="inlineStr">
        <is>
          <t>snet-aks-workload</t>
        </is>
      </c>
      <c r="B5" s="13" t="inlineStr">
        <is>
          <t>10.20.8.0/21</t>
        </is>
      </c>
      <c r="C5" s="13" t="inlineStr">
        <is>
          <t>Workload pool: commerce, access, operations, workers</t>
        </is>
      </c>
      <c r="D5" s="13" t="inlineStr">
        <is>
          <t>No NSG; Cilium policy: inbound from the ingress gateway; egress through the NAT Gateway</t>
        </is>
      </c>
    </row>
    <row r="6">
      <c r="A6" s="13" t="inlineStr">
        <is>
          <t>snet-aks-ai</t>
        </is>
      </c>
      <c r="B6" s="13" t="inlineStr">
        <is>
          <t>10.20.16.0/22</t>
        </is>
      </c>
      <c r="C6" s="13" t="inlineStr">
        <is>
          <t>AI GPU pool (the only AI pool): ticvai-ai, BGE-M3 and its reranker, Presidio and the Arabic NER</t>
        </is>
      </c>
      <c r="D6" s="13" t="inlineStr">
        <is>
          <t>No NSG; Cilium policy: inbound from the ingress gateway and the workload pool; read-only role on transactional schemas (ADR-0020, amended by ADR-0049)</t>
        </is>
      </c>
    </row>
    <row r="7">
      <c r="A7" s="13" t="inlineStr">
        <is>
          <t>snet-aks-data</t>
        </is>
      </c>
      <c r="B7" s="13" t="inlineStr">
        <is>
          <t>10.20.20.0/23</t>
        </is>
      </c>
      <c r="C7" s="13" t="inlineStr">
        <is>
          <t>The qdrant pool (Qdrant cluster) and, while the broker is self-run, the broker pool; both tainted ticvai.io/pool=data</t>
        </is>
      </c>
      <c r="D7" s="13" t="inlineStr">
        <is>
          <t>No NSG; Cilium policy: inbound from the workload and AI pools only; Qdrant needs each tenant's collection-scoped JWT</t>
        </is>
      </c>
    </row>
    <row r="8">
      <c r="A8" s="13" t="inlineStr">
        <is>
          <t>snet-postgres</t>
        </is>
      </c>
      <c r="B8" s="13" t="inlineStr">
        <is>
          <t>10.20.24.0/24</t>
        </is>
      </c>
      <c r="C8" s="13" t="inlineStr">
        <is>
          <t>PostgreSQL Flexible Server (delegated subnet), replicas, AI log DB</t>
        </is>
      </c>
      <c r="D8" s="13" t="inlineStr">
        <is>
          <t>NSG: 5432 (6432 for built-in PgBouncer) from the AKS subnets; all traffic inside the subnet (HA replication); outbound 443 to the Storage tag (WAL archive); public access disabled</t>
        </is>
      </c>
    </row>
    <row r="9">
      <c r="A9" s="13" t="inlineStr">
        <is>
          <t>snet-private-endpoints</t>
        </is>
      </c>
      <c r="B9" s="13" t="inlineStr">
        <is>
          <t>10.20.25.0/24</t>
        </is>
      </c>
      <c r="C9" s="13" t="inlineStr">
        <is>
          <t>Azure Managed Redis, Key Vault, Blob storage, Container Registry (and the managed broker's Private Link if one is chosen: CloudAMQP is recommended, ADR-0057)</t>
        </is>
      </c>
      <c r="D9" s="13" t="inlineStr">
        <is>
          <t>NSG: inbound from the AKS subnets only; private DNS zones; public access disabled on every resource</t>
        </is>
      </c>
    </row>
    <row r="10">
      <c r="A10" s="13" t="inlineStr">
        <is>
          <t>AzureBastionSubnet</t>
        </is>
      </c>
      <c r="B10" s="13" t="inlineStr">
        <is>
          <t>10.20.26.0/26</t>
        </is>
      </c>
      <c r="C10" s="13" t="inlineStr">
        <is>
          <t>Azure Bastion</t>
        </is>
      </c>
      <c r="D10" s="13" t="inlineStr">
        <is>
          <t>The only administrative path in</t>
        </is>
      </c>
    </row>
    <row r="11">
      <c r="A11" s="13" t="inlineStr">
        <is>
          <t>GatewaySubnet</t>
        </is>
      </c>
      <c r="B11" s="13" t="inlineStr">
        <is>
          <t>10.20.27.0/27</t>
        </is>
      </c>
      <c r="C11" s="13" t="inlineStr">
        <is>
          <t>VPN gateway for dedicated-tier venues' site-to-site VPN</t>
        </is>
      </c>
      <c r="D11" s="13" t="inlineStr">
        <is>
          <t>Created empty; the gateway is added when a venue needs it. No NSG (Azure does not support one here)</t>
        </is>
      </c>
    </row>
    <row r="12">
      <c r="A12" s="13" t="inlineStr">
        <is>
          <t>snet-jump</t>
        </is>
      </c>
      <c r="B12" s="13" t="inlineStr">
        <is>
          <t>10.20.28.0/27</t>
        </is>
      </c>
      <c r="C12" s="13" t="inlineStr">
        <is>
          <t>Reserved: a jump VM, only if the AKS API is private and Bastion stays Basic</t>
        </is>
      </c>
      <c r="D12" s="13" t="inlineStr">
        <is>
          <t>Not created</t>
        </is>
      </c>
    </row>
    <row r="13">
      <c r="A13" s="13" t="inlineStr">
        <is>
          <t>AKS pod range (CNI Overlay)</t>
        </is>
      </c>
      <c r="B13" s="13" t="inlineStr">
        <is>
          <t>10.244.0.0/16</t>
        </is>
      </c>
      <c r="C13" s="13" t="inlineStr">
        <is>
          <t>Pod addresses, outside the VNet (Terraform default)</t>
        </is>
      </c>
      <c r="D13" s="13" t="inlineStr">
        <is>
          <t>Must not overlap a peered VNet, the client's ranges or a venue LAN on the VPN; 100.64.0.0/16 if in doubt</t>
        </is>
      </c>
    </row>
    <row r="14">
      <c r="A14" s="13" t="inlineStr">
        <is>
          <t>AKS service range</t>
        </is>
      </c>
      <c r="B14" s="13" t="inlineStr">
        <is>
          <t>10.100.0.0/16</t>
        </is>
      </c>
      <c r="C14" s="13" t="inlineStr">
        <is>
          <t>Kubernetes services (Terraform default)</t>
        </is>
      </c>
      <c r="D14" s="13" t="inlineStr">
        <is>
          <t>Internal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2026-10-04T16:20:53Z</dcterms:created>
  <dcterms:modified xmlns:dcterms="http://purl.org/dc/terms/" xmlns:xsi="http://www.w3.org/2001/XMLSchema-instance" xsi:type="dcterms:W3CDTF">2026-10-04T16:20:53Z</dcterms:modified>
</cp:coreProperties>
</file>