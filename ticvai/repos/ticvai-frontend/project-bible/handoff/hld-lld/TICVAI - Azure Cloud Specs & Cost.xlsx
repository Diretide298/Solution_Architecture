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ra without HA" sheetId="1" state="visible" r:id="rId1"/>
    <sheet xmlns:r="http://schemas.openxmlformats.org/officeDocument/2006/relationships" name="Infra with High Availability" sheetId="2" state="visible" r:id="rId2"/>
    <sheet xmlns:r="http://schemas.openxmlformats.org/officeDocument/2006/relationships" name="Deployables" sheetId="3" state="visible" r:id="rId3"/>
    <sheet xmlns:r="http://schemas.openxmlformats.org/officeDocument/2006/relationships" name="Networ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3056"/>
      </patternFill>
    </fill>
    <fill>
      <patternFill patternType="solid">
        <fgColor rgb="00DCE6F5"/>
      </patternFill>
    </fill>
    <fill>
      <patternFill patternType="solid">
        <fgColor rgb="00FFF3C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thin">
        <color rgb="00999999"/>
      </left>
      <right/>
      <top/>
      <bottom/>
      <diagonal/>
    </border>
    <border>
      <left style="thin">
        <color rgb="00999999"/>
      </left>
      <right style="thin">
        <color rgb="00999999"/>
      </right>
      <top/>
      <bottom/>
      <diagonal/>
    </border>
    <border>
      <left style="thin">
        <color rgb="00999999"/>
      </left>
      <right style="thin">
        <color rgb="00999999"/>
      </right>
      <top/>
      <bottom style="thin">
        <color rgb="0099999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3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4" fillId="0" borderId="0" applyAlignment="1" pivotButton="0" quotePrefix="0" xfId="0">
      <alignment horizontal="right"/>
    </xf>
    <xf numFmtId="3" fontId="4" fillId="4" borderId="0" pivotButton="0" quotePrefix="0" xfId="0"/>
    <xf numFmtId="3" fontId="0" fillId="4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38" customWidth="1" min="4" max="4"/>
    <col width="11" customWidth="1" min="5" max="5"/>
    <col width="46" customWidth="1" min="6" max="6"/>
    <col width="6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TICVAI - Azure cloud specs and cost (infra without ha)</t>
        </is>
      </c>
    </row>
    <row r="3">
      <c r="B3" t="inlineStr">
        <is>
          <t>AED per USD</t>
        </is>
      </c>
      <c r="C3" t="n">
        <v>3.6725</v>
      </c>
      <c r="D3" t="inlineStr">
        <is>
          <t>Edit the rate, the margin and any unit price; every total is a formula.</t>
        </is>
      </c>
    </row>
    <row r="4">
      <c r="B4" t="inlineStr">
        <is>
          <t>Margin</t>
        </is>
      </c>
      <c r="C4" s="2" t="n">
        <v>0.2</v>
      </c>
    </row>
    <row r="6">
      <c r="A6" s="3" t="inlineStr">
        <is>
          <t>Environment</t>
        </is>
      </c>
      <c r="B6" s="3" t="inlineStr">
        <is>
          <t>Group</t>
        </is>
      </c>
      <c r="C6" s="3" t="inlineStr">
        <is>
          <t>Azure service type</t>
        </is>
      </c>
      <c r="D6" s="3" t="inlineStr">
        <is>
          <t>Service description</t>
        </is>
      </c>
      <c r="E6" s="3" t="inlineStr">
        <is>
          <t>Region</t>
        </is>
      </c>
      <c r="F6" s="3" t="inlineStr">
        <is>
          <t>Specs description</t>
        </is>
      </c>
      <c r="G6" s="3" t="inlineStr">
        <is>
          <t>Qty</t>
        </is>
      </c>
      <c r="H6" s="3" t="inlineStr">
        <is>
          <t>Unit price (USD / month)</t>
        </is>
      </c>
      <c r="I6" s="3" t="inlineStr">
        <is>
          <t>Estimated monthly cost (USD)</t>
        </is>
      </c>
      <c r="J6" s="3" t="inlineStr">
        <is>
          <t>When solution is scaled up (USD)</t>
        </is>
      </c>
    </row>
    <row r="7">
      <c r="A7" s="4" t="inlineStr">
        <is>
          <t>Production</t>
        </is>
      </c>
      <c r="B7" s="5" t="inlineStr">
        <is>
          <t>Compute (AKS)</t>
        </is>
      </c>
      <c r="C7" s="5" t="inlineStr">
        <is>
          <t>Azure Kubernetes Service</t>
        </is>
      </c>
      <c r="D7" s="5" t="inlineStr">
        <is>
          <t>Control plane, Standard tier</t>
        </is>
      </c>
      <c r="E7" s="5" t="inlineStr">
        <is>
          <t>UAE North</t>
        </is>
      </c>
      <c r="F7" s="5" t="inlineStr">
        <is>
          <t>Uptime SLA</t>
        </is>
      </c>
      <c r="G7" s="5" t="n">
        <v>1</v>
      </c>
      <c r="H7" s="6" t="n">
        <v>73</v>
      </c>
      <c r="I7" s="7">
        <f>G7*H7</f>
        <v/>
      </c>
      <c r="J7" s="7">
        <f>I7</f>
        <v/>
      </c>
    </row>
    <row r="8">
      <c r="A8" s="8" t="n"/>
      <c r="B8" s="5" t="inlineStr">
        <is>
          <t>Compute (AKS)</t>
        </is>
      </c>
      <c r="C8" s="5" t="inlineStr">
        <is>
          <t>Virtual Machines (AKS nodes)</t>
        </is>
      </c>
      <c r="D8" s="5" t="inlineStr">
        <is>
          <t>System node pool</t>
        </is>
      </c>
      <c r="E8" s="5" t="inlineStr">
        <is>
          <t>UAE North</t>
        </is>
      </c>
      <c r="F8" s="5" t="inlineStr">
        <is>
          <t>D4s v5 (4 vCPU, 16 GB), Linux, one zone</t>
        </is>
      </c>
      <c r="G8" s="5" t="n">
        <v>2</v>
      </c>
      <c r="H8" s="6" t="n">
        <v>175</v>
      </c>
      <c r="I8" s="7">
        <f>G8*H8</f>
        <v/>
      </c>
      <c r="J8" s="7">
        <f>I8</f>
        <v/>
      </c>
    </row>
    <row r="9">
      <c r="A9" s="8" t="n"/>
      <c r="B9" s="5" t="inlineStr">
        <is>
          <t>Compute (AKS)</t>
        </is>
      </c>
      <c r="C9" s="5" t="inlineStr">
        <is>
          <t>Virtual Machines (AKS nodes)</t>
        </is>
      </c>
      <c r="D9" s="5" t="inlineStr">
        <is>
          <t>Workload pool: commerce, access, operations, workers</t>
        </is>
      </c>
      <c r="E9" s="5" t="inlineStr">
        <is>
          <t>UAE North</t>
        </is>
      </c>
      <c r="F9" s="5" t="inlineStr">
        <is>
          <t>D8s v5 (8 vCPU, 32 GB), Linux, autoscale 2-10</t>
        </is>
      </c>
      <c r="G9" s="5" t="n">
        <v>2</v>
      </c>
      <c r="H9" s="6" t="n">
        <v>350</v>
      </c>
      <c r="I9" s="7">
        <f>G9*H9</f>
        <v/>
      </c>
      <c r="J9" s="7">
        <f>4*H9</f>
        <v/>
      </c>
    </row>
    <row r="10">
      <c r="A10" s="8" t="n"/>
      <c r="B10" s="5" t="inlineStr">
        <is>
          <t>Compute (AKS)</t>
        </is>
      </c>
      <c r="C10" s="5" t="inlineStr">
        <is>
          <t>Virtual Machines (AKS nodes)</t>
        </is>
      </c>
      <c r="D10" s="5" t="inlineStr">
        <is>
          <t>AI pool: ticvai-ai, embeddings, reranker (CPU)</t>
        </is>
      </c>
      <c r="E10" s="5" t="inlineStr">
        <is>
          <t>UAE North</t>
        </is>
      </c>
      <c r="F10" s="5" t="inlineStr">
        <is>
          <t>D8s v5 (8 vCPU, 32 GB), Linux, autoscale 1-2</t>
        </is>
      </c>
      <c r="G10" s="5" t="n">
        <v>1</v>
      </c>
      <c r="H10" s="6" t="n">
        <v>350</v>
      </c>
      <c r="I10" s="7">
        <f>G10*H10</f>
        <v/>
      </c>
      <c r="J10" s="7">
        <f>2*H10</f>
        <v/>
      </c>
    </row>
    <row r="11">
      <c r="A11" s="8" t="n"/>
      <c r="B11" s="5" t="inlineStr">
        <is>
          <t>Vector store</t>
        </is>
      </c>
      <c r="C11" s="5" t="inlineStr">
        <is>
          <t>Virtual Machines (AKS nodes)</t>
        </is>
      </c>
      <c r="D11" s="5" t="inlineStr">
        <is>
          <t>Qdrant, one collection per tenant (ADR-0049)</t>
        </is>
      </c>
      <c r="E11" s="5" t="inlineStr">
        <is>
          <t>UAE North</t>
        </is>
      </c>
      <c r="F11" s="5" t="inlineStr">
        <is>
          <t>E4s v5 (4 vCPU, 32 GB), single node</t>
        </is>
      </c>
      <c r="G11" s="5" t="n">
        <v>1</v>
      </c>
      <c r="H11" s="6" t="n">
        <v>225</v>
      </c>
      <c r="I11" s="7">
        <f>G11*H11</f>
        <v/>
      </c>
      <c r="J11" s="7">
        <f>I11</f>
        <v/>
      </c>
    </row>
    <row r="12">
      <c r="A12" s="8" t="n"/>
      <c r="B12" s="5" t="inlineStr">
        <is>
          <t>Vector store</t>
        </is>
      </c>
      <c r="C12" s="5" t="inlineStr">
        <is>
          <t>Managed Disks</t>
        </is>
      </c>
      <c r="D12" s="5" t="inlineStr">
        <is>
          <t>Qdrant storage</t>
        </is>
      </c>
      <c r="E12" s="5" t="inlineStr">
        <is>
          <t>UAE North</t>
        </is>
      </c>
      <c r="F12" s="5" t="inlineStr">
        <is>
          <t>Premium SSD P15 256 GB</t>
        </is>
      </c>
      <c r="G12" s="5" t="n">
        <v>1</v>
      </c>
      <c r="H12" s="6" t="n">
        <v>38</v>
      </c>
      <c r="I12" s="7">
        <f>G12*H12</f>
        <v/>
      </c>
      <c r="J12" s="7">
        <f>I12</f>
        <v/>
      </c>
    </row>
    <row r="13">
      <c r="A13" s="8" t="n"/>
      <c r="B13" s="5" t="inlineStr">
        <is>
          <t>Event broker</t>
        </is>
      </c>
      <c r="C13" s="5" t="inlineStr">
        <is>
          <t>Virtual Machines (AKS nodes)</t>
        </is>
      </c>
      <c r="D13" s="5" t="inlineStr">
        <is>
          <t>Broker: RabbitMQ or Kafka (client's choice, ADR-0057)</t>
        </is>
      </c>
      <c r="E13" s="5" t="inlineStr">
        <is>
          <t>UAE North</t>
        </is>
      </c>
      <c r="F13" s="5" t="inlineStr">
        <is>
          <t>D2s v5 (2 vCPU, 8 GB), single node</t>
        </is>
      </c>
      <c r="G13" s="5" t="n">
        <v>1</v>
      </c>
      <c r="H13" s="6" t="n">
        <v>88</v>
      </c>
      <c r="I13" s="7">
        <f>G13*H13</f>
        <v/>
      </c>
      <c r="J13" s="7">
        <f>I13</f>
        <v/>
      </c>
    </row>
    <row r="14">
      <c r="A14" s="8" t="n"/>
      <c r="B14" s="5" t="inlineStr">
        <is>
          <t>Database</t>
        </is>
      </c>
      <c r="C14" s="5" t="inlineStr">
        <is>
          <t>Azure Database for PostgreSQL</t>
        </is>
      </c>
      <c r="D14" s="5" t="inlineStr">
        <is>
          <t>Primary: control DB + DB per tenant</t>
        </is>
      </c>
      <c r="E14" s="5" t="inlineStr">
        <is>
          <t>UAE North</t>
        </is>
      </c>
      <c r="F14" s="5" t="inlineStr">
        <is>
          <t>Flexible Server 16, General Purpose D4ds v5 (4 vCore, 16 GB), no standby</t>
        </is>
      </c>
      <c r="G14" s="5" t="n">
        <v>1</v>
      </c>
      <c r="H14" s="6" t="n">
        <v>320</v>
      </c>
      <c r="I14" s="7">
        <f>G14*H14</f>
        <v/>
      </c>
      <c r="J14" s="7">
        <f>I14</f>
        <v/>
      </c>
    </row>
    <row r="15">
      <c r="A15" s="8" t="n"/>
      <c r="B15" s="5" t="inlineStr">
        <is>
          <t>Database</t>
        </is>
      </c>
      <c r="C15" s="5" t="inlineStr">
        <is>
          <t>Azure Database for PostgreSQL</t>
        </is>
      </c>
      <c r="D15" s="5" t="inlineStr">
        <is>
          <t>Storage</t>
        </is>
      </c>
      <c r="E15" s="5" t="inlineStr">
        <is>
          <t>UAE North</t>
        </is>
      </c>
      <c r="F15" s="5" t="inlineStr">
        <is>
          <t>256 GB Premium SSD; PITR backup 35 days</t>
        </is>
      </c>
      <c r="G15" s="5" t="n">
        <v>1</v>
      </c>
      <c r="H15" s="6" t="n">
        <v>36</v>
      </c>
      <c r="I15" s="7">
        <f>G15*H15</f>
        <v/>
      </c>
      <c r="J15" s="7">
        <f>I15</f>
        <v/>
      </c>
    </row>
    <row r="16">
      <c r="A16" s="8" t="n"/>
      <c r="B16" s="5" t="inlineStr">
        <is>
          <t>Database</t>
        </is>
      </c>
      <c r="C16" s="5" t="inlineStr">
        <is>
          <t>Azure Database for PostgreSQL</t>
        </is>
      </c>
      <c r="D16" s="5" t="inlineStr">
        <is>
          <t>Read replica (also serves reporting)</t>
        </is>
      </c>
      <c r="E16" s="5" t="inlineStr">
        <is>
          <t>UAE North</t>
        </is>
      </c>
      <c r="F16" s="5" t="inlineStr">
        <is>
          <t>General Purpose D4ds v5 + 256 GB</t>
        </is>
      </c>
      <c r="G16" s="5" t="n">
        <v>1</v>
      </c>
      <c r="H16" s="6" t="n">
        <v>356</v>
      </c>
      <c r="I16" s="7">
        <f>G16*H16</f>
        <v/>
      </c>
      <c r="J16" s="7">
        <f>I16</f>
        <v/>
      </c>
    </row>
    <row r="17">
      <c r="A17" s="8" t="n"/>
      <c r="B17" s="5" t="inlineStr">
        <is>
          <t>Database</t>
        </is>
      </c>
      <c r="C17" s="5" t="inlineStr">
        <is>
          <t>Azure Database for PostgreSQL</t>
        </is>
      </c>
      <c r="D17" s="5" t="inlineStr">
        <is>
          <t>AI log database</t>
        </is>
      </c>
      <c r="E17" s="5" t="inlineStr">
        <is>
          <t>UAE North</t>
        </is>
      </c>
      <c r="F17" s="5" t="inlineStr">
        <is>
          <t>General Purpose D2ds v5 + 512 GB</t>
        </is>
      </c>
      <c r="G17" s="5" t="n">
        <v>1</v>
      </c>
      <c r="H17" s="6" t="n">
        <v>230</v>
      </c>
      <c r="I17" s="7">
        <f>G17*H17</f>
        <v/>
      </c>
      <c r="J17" s="7">
        <f>I17</f>
        <v/>
      </c>
    </row>
    <row r="18">
      <c r="A18" s="8" t="n"/>
      <c r="B18" s="5" t="inlineStr">
        <is>
          <t>Cache</t>
        </is>
      </c>
      <c r="C18" s="5" t="inlineStr">
        <is>
          <t>Azure Cache for Redis</t>
        </is>
      </c>
      <c r="D18" s="5" t="inlineStr">
        <is>
          <t>Sessions, idempotency keys, caches, AI features</t>
        </is>
      </c>
      <c r="E18" s="5" t="inlineStr">
        <is>
          <t>UAE North</t>
        </is>
      </c>
      <c r="F18" s="5" t="inlineStr">
        <is>
          <t>Standard C4 (13 GB)</t>
        </is>
      </c>
      <c r="G18" s="5" t="n">
        <v>1</v>
      </c>
      <c r="H18" s="6" t="n">
        <v>400</v>
      </c>
      <c r="I18" s="7">
        <f>G18*H18</f>
        <v/>
      </c>
      <c r="J18" s="7">
        <f>I18</f>
        <v/>
      </c>
    </row>
    <row r="19">
      <c r="A19" s="8" t="n"/>
      <c r="B19" s="5" t="inlineStr">
        <is>
          <t>Storage</t>
        </is>
      </c>
      <c r="C19" s="5" t="inlineStr">
        <is>
          <t>Storage account (Blob, LRS)</t>
        </is>
      </c>
      <c r="D19" s="5" t="inlineStr">
        <is>
          <t>Media, exports, Qdrant snapshots, database dumps</t>
        </is>
      </c>
      <c r="E19" s="5" t="inlineStr">
        <is>
          <t>UAE North</t>
        </is>
      </c>
      <c r="F19" s="5" t="inlineStr">
        <is>
          <t>Hot tier, 2 TB, UAE North only</t>
        </is>
      </c>
      <c r="G19" s="5" t="n">
        <v>1</v>
      </c>
      <c r="H19" s="6" t="n">
        <v>45</v>
      </c>
      <c r="I19" s="7">
        <f>G19*H19</f>
        <v/>
      </c>
      <c r="J19" s="7">
        <f>I19</f>
        <v/>
      </c>
    </row>
    <row r="20">
      <c r="A20" s="8" t="n"/>
      <c r="B20" s="5" t="inlineStr">
        <is>
          <t>Storage</t>
        </is>
      </c>
      <c r="C20" s="5" t="inlineStr">
        <is>
          <t>Container Registry</t>
        </is>
      </c>
      <c r="D20" s="5" t="inlineStr">
        <is>
          <t>Images for the five deployables</t>
        </is>
      </c>
      <c r="E20" s="5" t="inlineStr">
        <is>
          <t>UAE North</t>
        </is>
      </c>
      <c r="F20" s="5" t="inlineStr">
        <is>
          <t>Standard</t>
        </is>
      </c>
      <c r="G20" s="5" t="n">
        <v>1</v>
      </c>
      <c r="H20" s="6" t="n">
        <v>20</v>
      </c>
      <c r="I20" s="7">
        <f>G20*H20</f>
        <v/>
      </c>
      <c r="J20" s="7">
        <f>I20</f>
        <v/>
      </c>
    </row>
    <row r="21">
      <c r="A21" s="8" t="n"/>
      <c r="B21" s="5" t="inlineStr">
        <is>
          <t>Security</t>
        </is>
      </c>
      <c r="C21" s="5" t="inlineStr">
        <is>
          <t>Key Vault</t>
        </is>
      </c>
      <c r="D21" s="5" t="inlineStr">
        <is>
          <t>Secrets, per-tenant keys, Qdrant JWT signing keys</t>
        </is>
      </c>
      <c r="E21" s="5" t="inlineStr">
        <is>
          <t>UAE North</t>
        </is>
      </c>
      <c r="F21" s="5" t="inlineStr">
        <is>
          <t>Standard</t>
        </is>
      </c>
      <c r="G21" s="5" t="n">
        <v>1</v>
      </c>
      <c r="H21" s="6" t="n">
        <v>5</v>
      </c>
      <c r="I21" s="7">
        <f>G21*H21</f>
        <v/>
      </c>
      <c r="J21" s="7">
        <f>I21</f>
        <v/>
      </c>
    </row>
    <row r="22">
      <c r="A22" s="8" t="n"/>
      <c r="B22" s="5" t="inlineStr">
        <is>
          <t>Network</t>
        </is>
      </c>
      <c r="C22" s="5" t="inlineStr">
        <is>
          <t>Azure Front Door</t>
        </is>
      </c>
      <c r="D22" s="5" t="inlineStr">
        <is>
          <t>Single entry for web, apps and APIs, with WAF</t>
        </is>
      </c>
      <c r="E22" s="5" t="inlineStr">
        <is>
          <t>UAE North</t>
        </is>
      </c>
      <c r="F22" s="5" t="inlineStr">
        <is>
          <t>Premium: WAF managed rules and bot protection; base + estimated traffic</t>
        </is>
      </c>
      <c r="G22" s="5" t="n">
        <v>1</v>
      </c>
      <c r="H22" s="6" t="n">
        <v>450</v>
      </c>
      <c r="I22" s="7">
        <f>G22*H22</f>
        <v/>
      </c>
      <c r="J22" s="7">
        <f>2*H22</f>
        <v/>
      </c>
    </row>
    <row r="23">
      <c r="A23" s="8" t="n"/>
      <c r="B23" s="5" t="inlineStr">
        <is>
          <t>Network</t>
        </is>
      </c>
      <c r="C23" s="5" t="inlineStr">
        <is>
          <t>NAT Gateway</t>
        </is>
      </c>
      <c r="D23" s="5" t="inlineStr">
        <is>
          <t>One static egress IP for payment and e-invoicing allow-lists</t>
        </is>
      </c>
      <c r="E23" s="5" t="inlineStr">
        <is>
          <t>UAE North</t>
        </is>
      </c>
      <c r="F23" s="5" t="inlineStr">
        <is>
          <t>730 hours, 1 TB processed</t>
        </is>
      </c>
      <c r="G23" s="5" t="n">
        <v>1</v>
      </c>
      <c r="H23" s="6" t="n">
        <v>80</v>
      </c>
      <c r="I23" s="7">
        <f>G23*H23</f>
        <v/>
      </c>
      <c r="J23" s="7">
        <f>I23</f>
        <v/>
      </c>
    </row>
    <row r="24">
      <c r="A24" s="8" t="n"/>
      <c r="B24" s="5" t="inlineStr">
        <is>
          <t>Network</t>
        </is>
      </c>
      <c r="C24" s="5" t="inlineStr">
        <is>
          <t>Azure Bastion</t>
        </is>
      </c>
      <c r="D24" s="5" t="inlineStr">
        <is>
          <t>Administrative access only</t>
        </is>
      </c>
      <c r="E24" s="5" t="inlineStr">
        <is>
          <t>UAE North</t>
        </is>
      </c>
      <c r="F24" s="5" t="inlineStr">
        <is>
          <t>Basic, 730 hours</t>
        </is>
      </c>
      <c r="G24" s="5" t="n">
        <v>1</v>
      </c>
      <c r="H24" s="6" t="n">
        <v>139</v>
      </c>
      <c r="I24" s="7">
        <f>G24*H24</f>
        <v/>
      </c>
      <c r="J24" s="7">
        <f>I24</f>
        <v/>
      </c>
    </row>
    <row r="25">
      <c r="A25" s="8" t="n"/>
      <c r="B25" s="5" t="inlineStr">
        <is>
          <t>Network</t>
        </is>
      </c>
      <c r="C25" s="5" t="inlineStr">
        <is>
          <t>Bandwidth</t>
        </is>
      </c>
      <c r="D25" s="5" t="inlineStr">
        <is>
          <t>Outbound data transfer</t>
        </is>
      </c>
      <c r="E25" s="5" t="inlineStr">
        <is>
          <t>UAE North</t>
        </is>
      </c>
      <c r="F25" s="5" t="inlineStr">
        <is>
          <t>About 2 TB a month</t>
        </is>
      </c>
      <c r="G25" s="5" t="n">
        <v>1</v>
      </c>
      <c r="H25" s="6" t="n">
        <v>180</v>
      </c>
      <c r="I25" s="7">
        <f>G25*H25</f>
        <v/>
      </c>
      <c r="J25" s="7">
        <f>2*H25</f>
        <v/>
      </c>
    </row>
    <row r="26">
      <c r="A26" s="8" t="n"/>
      <c r="B26" s="5" t="inlineStr">
        <is>
          <t>Operations</t>
        </is>
      </c>
      <c r="C26" s="5" t="inlineStr">
        <is>
          <t>Azure Monitor / Log Analytics</t>
        </is>
      </c>
      <c r="D26" s="5" t="inlineStr">
        <is>
          <t>Logs, metrics, alerts</t>
        </is>
      </c>
      <c r="E26" s="5" t="inlineStr">
        <is>
          <t>UAE North</t>
        </is>
      </c>
      <c r="F26" s="5" t="inlineStr">
        <is>
          <t>About 40 GB ingested a month</t>
        </is>
      </c>
      <c r="G26" s="5" t="n">
        <v>1</v>
      </c>
      <c r="H26" s="6" t="n">
        <v>140</v>
      </c>
      <c r="I26" s="7">
        <f>G26*H26</f>
        <v/>
      </c>
      <c r="J26" s="7">
        <f>I26</f>
        <v/>
      </c>
    </row>
    <row r="27">
      <c r="A27" s="8" t="n"/>
      <c r="B27" s="5" t="inlineStr">
        <is>
          <t>Operations</t>
        </is>
      </c>
      <c r="C27" s="5" t="inlineStr">
        <is>
          <t>Microsoft Defender for Cloud</t>
        </is>
      </c>
      <c r="D27" s="5" t="inlineStr">
        <is>
          <t>Servers, containers and databases</t>
        </is>
      </c>
      <c r="E27" s="5" t="inlineStr">
        <is>
          <t>UAE North</t>
        </is>
      </c>
      <c r="F27" s="5" t="inlineStr">
        <is>
          <t>Estimated</t>
        </is>
      </c>
      <c r="G27" s="5" t="n">
        <v>1</v>
      </c>
      <c r="H27" s="6" t="n">
        <v>100</v>
      </c>
      <c r="I27" s="7">
        <f>G27*H27</f>
        <v/>
      </c>
      <c r="J27" s="7">
        <f>I27</f>
        <v/>
      </c>
    </row>
    <row r="28">
      <c r="A28" s="9" t="n"/>
      <c r="B28" s="5" t="inlineStr">
        <is>
          <t>AI (usage)</t>
        </is>
      </c>
      <c r="C28" s="5" t="inlineStr">
        <is>
          <t>Azure OpenAI</t>
        </is>
      </c>
      <c r="D28" s="5" t="inlineStr">
        <is>
          <t>Language model calls (re-billed per token, AI-D02)</t>
        </is>
      </c>
      <c r="E28" s="5" t="inlineStr">
        <is>
          <t>UAE North</t>
        </is>
      </c>
      <c r="F28" s="5" t="inlineStr">
        <is>
          <t>Usage-based</t>
        </is>
      </c>
      <c r="G28" s="5" t="n">
        <v>1</v>
      </c>
      <c r="H28" s="6" t="n">
        <v>0</v>
      </c>
      <c r="I28" s="7">
        <f>G28*H28</f>
        <v/>
      </c>
      <c r="J28" s="7">
        <f>I28</f>
        <v/>
      </c>
    </row>
    <row r="29">
      <c r="F29" s="10" t="inlineStr">
        <is>
          <t>USD - Total cost per month</t>
        </is>
      </c>
      <c r="I29" s="11">
        <f>SUM(I7:I28)</f>
        <v/>
      </c>
      <c r="J29" s="12">
        <f>SUM(J7:J28)</f>
        <v/>
      </c>
    </row>
    <row r="30">
      <c r="F30" s="10" t="inlineStr">
        <is>
          <t>AED - Total cost per month</t>
        </is>
      </c>
      <c r="I30" s="11">
        <f>I29*$C$3</f>
        <v/>
      </c>
      <c r="J30" s="12">
        <f>J29*$C$3</f>
        <v/>
      </c>
    </row>
    <row r="31">
      <c r="F31" s="10" t="inlineStr">
        <is>
          <t>AED - Total cost per year</t>
        </is>
      </c>
      <c r="I31" s="11">
        <f>I30*12</f>
        <v/>
      </c>
    </row>
    <row r="32">
      <c r="F32" s="10" t="inlineStr">
        <is>
          <t>AED - Total price per year with margin</t>
        </is>
      </c>
      <c r="I32" s="11">
        <f>I31*(1+$C$4)</f>
        <v/>
      </c>
    </row>
    <row r="34">
      <c r="B34" s="13" t="inlineStr">
        <is>
          <t>Notes - Production</t>
        </is>
      </c>
    </row>
    <row r="35" ht="32" customHeight="1">
      <c r="B35" s="14" t="inlineStr">
        <is>
          <t>Prices are estimates for Azure region UAE North, pay as you go, 730 hours a month, 30 September 2026. Confirm each line in the Azure pricing calculator for UAE North before quoting; reserved instances (1 or 3 years) lower compute by roughly 30-55%.</t>
        </is>
      </c>
    </row>
    <row r="36" ht="32" customHeight="1">
      <c r="B36" s="14" t="inlineStr">
        <is>
          <t>Every store is hosted in the UAE, backups and disaster recovery included. Qdrant was approved on that condition (30 September).</t>
        </is>
      </c>
    </row>
    <row r="37" ht="32" customHeight="1">
      <c r="B37" s="14" t="inlineStr">
        <is>
          <t>One production cell serves many tenants: each tenant has its own PostgreSQL database and its own Qdrant collection with a collection-scoped key.</t>
        </is>
      </c>
    </row>
    <row r="38" ht="32" customHeight="1">
      <c r="B38" s="14" t="inlineStr">
        <is>
          <t>"When scaled up" doubles the autoscaled lines (workload and AI pools, Front Door traffic, bandwidth) for busy periods such as an on-sale or a holiday peak.</t>
        </is>
      </c>
    </row>
    <row r="39" ht="32" customHeight="1">
      <c r="B39" s="14" t="inlineStr">
        <is>
          <t>Not included: Azure OpenAI tokens (billed per use), SMS, email and WhatsApp fees, payment provider fees, the e-invoicing provider, Apple and Google developer accounts, and venue hardware.</t>
        </is>
      </c>
    </row>
    <row r="40" ht="32" customHeight="1">
      <c r="B40" s="14" t="inlineStr">
        <is>
          <t>The venue edge node (one per venue, runs the gates and POS offline) is venue hardware, not Azure: recommended 8 cores, 32 GB RAM, 1 TB SSD, two units per venue for failover.</t>
        </is>
      </c>
    </row>
    <row r="41" ht="32" customHeight="1">
      <c r="B41" s="14" t="inlineStr">
        <is>
          <t>The event broker is RabbitMQ or Kafka, the client's choice. It is priced self-hosted on AKS; a managed service is re-priced when chosen.</t>
        </is>
      </c>
    </row>
    <row r="42" ht="32" customHeight="1">
      <c r="B42" s="14" t="inlineStr">
        <is>
          <t>Single zone throughout: a zone outage stops the cloud services until they are restored. Venue gates and POS keep working on the venue edge node, offline.</t>
        </is>
      </c>
    </row>
    <row r="43" ht="32" customHeight="1">
      <c r="B43" s="14" t="inlineStr">
        <is>
          <t>Not suitable for the cloud availability target (99.95% for commerce); use the high-availability sheet.</t>
        </is>
      </c>
    </row>
    <row r="46">
      <c r="A46" s="3" t="inlineStr">
        <is>
          <t>Environment</t>
        </is>
      </c>
      <c r="B46" s="3" t="inlineStr">
        <is>
          <t>Group</t>
        </is>
      </c>
      <c r="C46" s="3" t="inlineStr">
        <is>
          <t>Azure service type</t>
        </is>
      </c>
      <c r="D46" s="3" t="inlineStr">
        <is>
          <t>Service description</t>
        </is>
      </c>
      <c r="E46" s="3" t="inlineStr">
        <is>
          <t>Region</t>
        </is>
      </c>
      <c r="F46" s="3" t="inlineStr">
        <is>
          <t>Specs description</t>
        </is>
      </c>
      <c r="G46" s="3" t="inlineStr">
        <is>
          <t>Qty</t>
        </is>
      </c>
      <c r="H46" s="3" t="inlineStr">
        <is>
          <t>Unit price (USD / month)</t>
        </is>
      </c>
      <c r="I46" s="3" t="inlineStr">
        <is>
          <t>Estimated monthly cost (USD)</t>
        </is>
      </c>
      <c r="J46" s="3" t="inlineStr">
        <is>
          <t>When solution is scaled up (USD)</t>
        </is>
      </c>
    </row>
    <row r="47">
      <c r="A47" s="4" t="inlineStr">
        <is>
          <t>Pre-production</t>
        </is>
      </c>
      <c r="B47" s="5" t="inlineStr">
        <is>
          <t>Compute (AKS)</t>
        </is>
      </c>
      <c r="C47" s="5" t="inlineStr">
        <is>
          <t>Azure Kubernetes Service</t>
        </is>
      </c>
      <c r="D47" s="5" t="inlineStr">
        <is>
          <t>Control plane</t>
        </is>
      </c>
      <c r="E47" s="5" t="inlineStr">
        <is>
          <t>UAE North</t>
        </is>
      </c>
      <c r="F47" s="5" t="inlineStr">
        <is>
          <t>Free tier</t>
        </is>
      </c>
      <c r="G47" s="5" t="n">
        <v>1</v>
      </c>
      <c r="H47" s="6" t="n">
        <v>0</v>
      </c>
      <c r="I47" s="7">
        <f>G47*H47</f>
        <v/>
      </c>
      <c r="J47" s="7">
        <f>I47</f>
        <v/>
      </c>
    </row>
    <row r="48">
      <c r="A48" s="8" t="n"/>
      <c r="B48" s="5" t="inlineStr">
        <is>
          <t>Compute (AKS)</t>
        </is>
      </c>
      <c r="C48" s="5" t="inlineStr">
        <is>
          <t>Virtual Machines (AKS nodes)</t>
        </is>
      </c>
      <c r="D48" s="5" t="inlineStr">
        <is>
          <t>System and workload nodes, all five deployables</t>
        </is>
      </c>
      <c r="E48" s="5" t="inlineStr">
        <is>
          <t>UAE North</t>
        </is>
      </c>
      <c r="F48" s="5" t="inlineStr">
        <is>
          <t>D8s v5 (8 vCPU, 32 GB) x2 + D4s v5 x1, Linux</t>
        </is>
      </c>
      <c r="G48" s="5" t="n">
        <v>1</v>
      </c>
      <c r="H48" s="6" t="n">
        <v>875</v>
      </c>
      <c r="I48" s="7">
        <f>G48*H48</f>
        <v/>
      </c>
      <c r="J48" s="7">
        <f>I48</f>
        <v/>
      </c>
    </row>
    <row r="49">
      <c r="A49" s="8" t="n"/>
      <c r="B49" s="5" t="inlineStr">
        <is>
          <t>Vector store</t>
        </is>
      </c>
      <c r="C49" s="5" t="inlineStr">
        <is>
          <t>Virtual Machines (AKS nodes)</t>
        </is>
      </c>
      <c r="D49" s="5" t="inlineStr">
        <is>
          <t>Qdrant, single node</t>
        </is>
      </c>
      <c r="E49" s="5" t="inlineStr">
        <is>
          <t>UAE North</t>
        </is>
      </c>
      <c r="F49" s="5" t="inlineStr">
        <is>
          <t>E2s v5 (2 vCPU, 16 GB) + P10 128 GB</t>
        </is>
      </c>
      <c r="G49" s="5" t="n">
        <v>1</v>
      </c>
      <c r="H49" s="6" t="n">
        <v>132</v>
      </c>
      <c r="I49" s="7">
        <f>G49*H49</f>
        <v/>
      </c>
      <c r="J49" s="7">
        <f>I49</f>
        <v/>
      </c>
    </row>
    <row r="50">
      <c r="A50" s="8" t="n"/>
      <c r="B50" s="5" t="inlineStr">
        <is>
          <t>Event broker</t>
        </is>
      </c>
      <c r="C50" s="5" t="inlineStr">
        <is>
          <t>Virtual Machines (AKS nodes)</t>
        </is>
      </c>
      <c r="D50" s="5" t="inlineStr">
        <is>
          <t>Broker, single node</t>
        </is>
      </c>
      <c r="E50" s="5" t="inlineStr">
        <is>
          <t>UAE North</t>
        </is>
      </c>
      <c r="F50" s="5" t="inlineStr">
        <is>
          <t>D2s v5 (2 vCPU, 8 GB)</t>
        </is>
      </c>
      <c r="G50" s="5" t="n">
        <v>1</v>
      </c>
      <c r="H50" s="6" t="n">
        <v>88</v>
      </c>
      <c r="I50" s="7">
        <f>G50*H50</f>
        <v/>
      </c>
      <c r="J50" s="7">
        <f>I50</f>
        <v/>
      </c>
    </row>
    <row r="51">
      <c r="A51" s="8" t="n"/>
      <c r="B51" s="5" t="inlineStr">
        <is>
          <t>Database</t>
        </is>
      </c>
      <c r="C51" s="5" t="inlineStr">
        <is>
          <t>Azure Database for PostgreSQL</t>
        </is>
      </c>
      <c r="D51" s="5" t="inlineStr">
        <is>
          <t>Control DB + test tenant DBs + AI log DB</t>
        </is>
      </c>
      <c r="E51" s="5" t="inlineStr">
        <is>
          <t>UAE North</t>
        </is>
      </c>
      <c r="F51" s="5" t="inlineStr">
        <is>
          <t>Flexible Server 16, General Purpose D2ds v5 + 256 GB, no standby, no replicas</t>
        </is>
      </c>
      <c r="G51" s="5" t="n">
        <v>1</v>
      </c>
      <c r="H51" s="6" t="n">
        <v>196</v>
      </c>
      <c r="I51" s="7">
        <f>G51*H51</f>
        <v/>
      </c>
      <c r="J51" s="7">
        <f>I51</f>
        <v/>
      </c>
    </row>
    <row r="52">
      <c r="A52" s="8" t="n"/>
      <c r="B52" s="5" t="inlineStr">
        <is>
          <t>Cache</t>
        </is>
      </c>
      <c r="C52" s="5" t="inlineStr">
        <is>
          <t>Azure Cache for Redis</t>
        </is>
      </c>
      <c r="D52" s="5" t="inlineStr">
        <is>
          <t>Test cache</t>
        </is>
      </c>
      <c r="E52" s="5" t="inlineStr">
        <is>
          <t>UAE North</t>
        </is>
      </c>
      <c r="F52" s="5" t="inlineStr">
        <is>
          <t>Standard C1 (1 GB)</t>
        </is>
      </c>
      <c r="G52" s="5" t="n">
        <v>1</v>
      </c>
      <c r="H52" s="6" t="n">
        <v>125</v>
      </c>
      <c r="I52" s="7">
        <f>G52*H52</f>
        <v/>
      </c>
      <c r="J52" s="7">
        <f>I52</f>
        <v/>
      </c>
    </row>
    <row r="53">
      <c r="A53" s="8" t="n"/>
      <c r="B53" s="5" t="inlineStr">
        <is>
          <t>Storage</t>
        </is>
      </c>
      <c r="C53" s="5" t="inlineStr">
        <is>
          <t>Storage account (Blob, LRS)</t>
        </is>
      </c>
      <c r="D53" s="5" t="inlineStr">
        <is>
          <t>Test media and snapshots</t>
        </is>
      </c>
      <c r="E53" s="5" t="inlineStr">
        <is>
          <t>UAE North</t>
        </is>
      </c>
      <c r="F53" s="5" t="inlineStr">
        <is>
          <t>Hot tier, 500 GB</t>
        </is>
      </c>
      <c r="G53" s="5" t="n">
        <v>1</v>
      </c>
      <c r="H53" s="6" t="n">
        <v>15</v>
      </c>
      <c r="I53" s="7">
        <f>G53*H53</f>
        <v/>
      </c>
      <c r="J53" s="7">
        <f>I53</f>
        <v/>
      </c>
    </row>
    <row r="54">
      <c r="A54" s="8" t="n"/>
      <c r="B54" s="5" t="inlineStr">
        <is>
          <t>Security</t>
        </is>
      </c>
      <c r="C54" s="5" t="inlineStr">
        <is>
          <t>Key Vault</t>
        </is>
      </c>
      <c r="D54" s="5" t="inlineStr">
        <is>
          <t>Test secrets</t>
        </is>
      </c>
      <c r="E54" s="5" t="inlineStr">
        <is>
          <t>UAE North</t>
        </is>
      </c>
      <c r="F54" s="5" t="inlineStr">
        <is>
          <t>Standard</t>
        </is>
      </c>
      <c r="G54" s="5" t="n">
        <v>1</v>
      </c>
      <c r="H54" s="6" t="n">
        <v>5</v>
      </c>
      <c r="I54" s="7">
        <f>G54*H54</f>
        <v/>
      </c>
      <c r="J54" s="7">
        <f>I54</f>
        <v/>
      </c>
    </row>
    <row r="55">
      <c r="A55" s="8" t="n"/>
      <c r="B55" s="5" t="inlineStr">
        <is>
          <t>Network</t>
        </is>
      </c>
      <c r="C55" s="5" t="inlineStr">
        <is>
          <t>Front Door, NAT, Bastion, Registry</t>
        </is>
      </c>
      <c r="D55" s="5" t="inlineStr">
        <is>
          <t>Shared with production</t>
        </is>
      </c>
      <c r="E55" s="5" t="inlineStr">
        <is>
          <t>UAE North</t>
        </is>
      </c>
      <c r="F55" s="5" t="inlineStr">
        <is>
          <t>Separate routes and WAF policy</t>
        </is>
      </c>
      <c r="G55" s="5" t="n">
        <v>1</v>
      </c>
      <c r="H55" s="6" t="n">
        <v>0</v>
      </c>
      <c r="I55" s="7">
        <f>G55*H55</f>
        <v/>
      </c>
      <c r="J55" s="7">
        <f>I55</f>
        <v/>
      </c>
    </row>
    <row r="56">
      <c r="A56" s="9" t="n"/>
      <c r="B56" s="5" t="inlineStr">
        <is>
          <t>Operations</t>
        </is>
      </c>
      <c r="C56" s="5" t="inlineStr">
        <is>
          <t>Azure Monitor / Log Analytics</t>
        </is>
      </c>
      <c r="D56" s="5" t="inlineStr">
        <is>
          <t>Logs and metrics</t>
        </is>
      </c>
      <c r="E56" s="5" t="inlineStr">
        <is>
          <t>UAE North</t>
        </is>
      </c>
      <c r="F56" s="5" t="inlineStr">
        <is>
          <t>About 20 GB ingested a month</t>
        </is>
      </c>
      <c r="G56" s="5" t="n">
        <v>1</v>
      </c>
      <c r="H56" s="6" t="n">
        <v>70</v>
      </c>
      <c r="I56" s="7">
        <f>G56*H56</f>
        <v/>
      </c>
      <c r="J56" s="7">
        <f>I56</f>
        <v/>
      </c>
    </row>
    <row r="57">
      <c r="F57" s="10" t="inlineStr">
        <is>
          <t>USD - Total cost per month</t>
        </is>
      </c>
      <c r="I57" s="11">
        <f>SUM(I47:I56)</f>
        <v/>
      </c>
      <c r="J57" s="12">
        <f>SUM(J47:J56)</f>
        <v/>
      </c>
    </row>
    <row r="58">
      <c r="F58" s="10" t="inlineStr">
        <is>
          <t>AED - Total cost per month</t>
        </is>
      </c>
      <c r="I58" s="11">
        <f>I57*$C$3</f>
        <v/>
      </c>
      <c r="J58" s="12">
        <f>J57*$C$3</f>
        <v/>
      </c>
    </row>
    <row r="59">
      <c r="F59" s="10" t="inlineStr">
        <is>
          <t>AED - Total cost per year</t>
        </is>
      </c>
      <c r="I59" s="11">
        <f>I58*12</f>
        <v/>
      </c>
    </row>
    <row r="60">
      <c r="F60" s="10" t="inlineStr">
        <is>
          <t>AED - Total price per year with margin</t>
        </is>
      </c>
      <c r="I60" s="11">
        <f>I59*(1+$C$4)</f>
        <v/>
      </c>
    </row>
    <row r="62">
      <c r="B62" s="13" t="inlineStr">
        <is>
          <t>Notes - Pre-production</t>
        </is>
      </c>
    </row>
    <row r="63" ht="32" customHeight="1">
      <c r="B63" s="14" t="inlineStr">
        <is>
          <t>One pre-production environment for acceptance testing and client demos; development runs locally on docker-compose and on this cluster.</t>
        </is>
      </c>
    </row>
    <row r="64" ht="32" customHeight="1">
      <c r="B64" s="14" t="inlineStr">
        <is>
          <t>Zero-priced lines are covered by production.</t>
        </is>
      </c>
    </row>
  </sheetData>
  <mergeCells count="13">
    <mergeCell ref="B64:I64"/>
    <mergeCell ref="B39:I39"/>
    <mergeCell ref="B38:I38"/>
    <mergeCell ref="A7:A28"/>
    <mergeCell ref="B63:I63"/>
    <mergeCell ref="B42:I42"/>
    <mergeCell ref="B36:I36"/>
    <mergeCell ref="B37:I37"/>
    <mergeCell ref="A47:A56"/>
    <mergeCell ref="B43:I43"/>
    <mergeCell ref="B41:I41"/>
    <mergeCell ref="B35:I35"/>
    <mergeCell ref="B40:I4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38" customWidth="1" min="4" max="4"/>
    <col width="11" customWidth="1" min="5" max="5"/>
    <col width="46" customWidth="1" min="6" max="6"/>
    <col width="6" customWidth="1" min="7" max="7"/>
    <col width="14" customWidth="1" min="8" max="8"/>
    <col width="16" customWidth="1" min="9" max="9"/>
    <col width="18" customWidth="1" min="10" max="10"/>
  </cols>
  <sheetData>
    <row r="1">
      <c r="A1" s="1" t="inlineStr">
        <is>
          <t>TICVAI - Azure cloud specs and cost (infra with high availability)</t>
        </is>
      </c>
    </row>
    <row r="3">
      <c r="B3" t="inlineStr">
        <is>
          <t>AED per USD</t>
        </is>
      </c>
      <c r="C3" t="n">
        <v>3.6725</v>
      </c>
      <c r="D3" t="inlineStr">
        <is>
          <t>Edit the rate, the margin and any unit price; every total is a formula.</t>
        </is>
      </c>
    </row>
    <row r="4">
      <c r="B4" t="inlineStr">
        <is>
          <t>Margin</t>
        </is>
      </c>
      <c r="C4" s="2" t="n">
        <v>0.2</v>
      </c>
    </row>
    <row r="6">
      <c r="A6" s="3" t="inlineStr">
        <is>
          <t>Environment</t>
        </is>
      </c>
      <c r="B6" s="3" t="inlineStr">
        <is>
          <t>Group</t>
        </is>
      </c>
      <c r="C6" s="3" t="inlineStr">
        <is>
          <t>Azure service type</t>
        </is>
      </c>
      <c r="D6" s="3" t="inlineStr">
        <is>
          <t>Service description</t>
        </is>
      </c>
      <c r="E6" s="3" t="inlineStr">
        <is>
          <t>Region</t>
        </is>
      </c>
      <c r="F6" s="3" t="inlineStr">
        <is>
          <t>Specs description</t>
        </is>
      </c>
      <c r="G6" s="3" t="inlineStr">
        <is>
          <t>Qty</t>
        </is>
      </c>
      <c r="H6" s="3" t="inlineStr">
        <is>
          <t>Unit price (USD / month)</t>
        </is>
      </c>
      <c r="I6" s="3" t="inlineStr">
        <is>
          <t>Estimated monthly cost (USD)</t>
        </is>
      </c>
      <c r="J6" s="3" t="inlineStr">
        <is>
          <t>When solution is scaled up (USD)</t>
        </is>
      </c>
    </row>
    <row r="7">
      <c r="A7" s="4" t="inlineStr">
        <is>
          <t>Production</t>
        </is>
      </c>
      <c r="B7" s="5" t="inlineStr">
        <is>
          <t>Compute (AKS)</t>
        </is>
      </c>
      <c r="C7" s="5" t="inlineStr">
        <is>
          <t>Azure Kubernetes Service</t>
        </is>
      </c>
      <c r="D7" s="5" t="inlineStr">
        <is>
          <t>Control plane, Standard tier</t>
        </is>
      </c>
      <c r="E7" s="5" t="inlineStr">
        <is>
          <t>UAE North</t>
        </is>
      </c>
      <c r="F7" s="5" t="inlineStr">
        <is>
          <t>Uptime SLA, zone-redundant control plane</t>
        </is>
      </c>
      <c r="G7" s="5" t="n">
        <v>1</v>
      </c>
      <c r="H7" s="6" t="n">
        <v>73</v>
      </c>
      <c r="I7" s="7">
        <f>G7*H7</f>
        <v/>
      </c>
      <c r="J7" s="7">
        <f>I7</f>
        <v/>
      </c>
    </row>
    <row r="8">
      <c r="A8" s="8" t="n"/>
      <c r="B8" s="5" t="inlineStr">
        <is>
          <t>Compute (AKS)</t>
        </is>
      </c>
      <c r="C8" s="5" t="inlineStr">
        <is>
          <t>Virtual Machines (AKS nodes)</t>
        </is>
      </c>
      <c r="D8" s="5" t="inlineStr">
        <is>
          <t>System node pool</t>
        </is>
      </c>
      <c r="E8" s="5" t="inlineStr">
        <is>
          <t>UAE North</t>
        </is>
      </c>
      <c r="F8" s="5" t="inlineStr">
        <is>
          <t>D4s v5 (4 vCPU, 16 GB), Linux, zones 1-3</t>
        </is>
      </c>
      <c r="G8" s="5" t="n">
        <v>3</v>
      </c>
      <c r="H8" s="6" t="n">
        <v>175</v>
      </c>
      <c r="I8" s="7">
        <f>G8*H8</f>
        <v/>
      </c>
      <c r="J8" s="7">
        <f>I8</f>
        <v/>
      </c>
    </row>
    <row r="9">
      <c r="A9" s="8" t="n"/>
      <c r="B9" s="5" t="inlineStr">
        <is>
          <t>Compute (AKS)</t>
        </is>
      </c>
      <c r="C9" s="5" t="inlineStr">
        <is>
          <t>Virtual Machines (AKS nodes)</t>
        </is>
      </c>
      <c r="D9" s="5" t="inlineStr">
        <is>
          <t>Workload pool: commerce, access, operations, workers</t>
        </is>
      </c>
      <c r="E9" s="5" t="inlineStr">
        <is>
          <t>UAE North</t>
        </is>
      </c>
      <c r="F9" s="5" t="inlineStr">
        <is>
          <t>D8s v5 (8 vCPU, 32 GB), Linux, autoscale 3-20 across zones</t>
        </is>
      </c>
      <c r="G9" s="5" t="n">
        <v>3</v>
      </c>
      <c r="H9" s="6" t="n">
        <v>350</v>
      </c>
      <c r="I9" s="7">
        <f>G9*H9</f>
        <v/>
      </c>
      <c r="J9" s="7">
        <f>6*H9</f>
        <v/>
      </c>
    </row>
    <row r="10">
      <c r="A10" s="8" t="n"/>
      <c r="B10" s="5" t="inlineStr">
        <is>
          <t>Compute (AKS)</t>
        </is>
      </c>
      <c r="C10" s="5" t="inlineStr">
        <is>
          <t>Virtual Machines (AKS nodes)</t>
        </is>
      </c>
      <c r="D10" s="5" t="inlineStr">
        <is>
          <t>AI pool: ticvai-ai, embeddings, reranker (CPU)</t>
        </is>
      </c>
      <c r="E10" s="5" t="inlineStr">
        <is>
          <t>UAE North</t>
        </is>
      </c>
      <c r="F10" s="5" t="inlineStr">
        <is>
          <t>D8s v5 (8 vCPU, 32 GB), Linux, autoscale 2-4</t>
        </is>
      </c>
      <c r="G10" s="5" t="n">
        <v>2</v>
      </c>
      <c r="H10" s="6" t="n">
        <v>350</v>
      </c>
      <c r="I10" s="7">
        <f>G10*H10</f>
        <v/>
      </c>
      <c r="J10" s="7">
        <f>4*H10</f>
        <v/>
      </c>
    </row>
    <row r="11">
      <c r="A11" s="8" t="n"/>
      <c r="B11" s="5" t="inlineStr">
        <is>
          <t>Vector store</t>
        </is>
      </c>
      <c r="C11" s="5" t="inlineStr">
        <is>
          <t>Virtual Machines (AKS nodes)</t>
        </is>
      </c>
      <c r="D11" s="5" t="inlineStr">
        <is>
          <t>Qdrant cluster, one collection per tenant (ADR-0049)</t>
        </is>
      </c>
      <c r="E11" s="5" t="inlineStr">
        <is>
          <t>UAE North</t>
        </is>
      </c>
      <c r="F11" s="5" t="inlineStr">
        <is>
          <t>E4s v5 (4 vCPU, 32 GB) x3, zones 1-3, replication factor 2</t>
        </is>
      </c>
      <c r="G11" s="5" t="n">
        <v>3</v>
      </c>
      <c r="H11" s="6" t="n">
        <v>225</v>
      </c>
      <c r="I11" s="7">
        <f>G11*H11</f>
        <v/>
      </c>
      <c r="J11" s="7">
        <f>I11</f>
        <v/>
      </c>
    </row>
    <row r="12">
      <c r="A12" s="8" t="n"/>
      <c r="B12" s="5" t="inlineStr">
        <is>
          <t>Vector store</t>
        </is>
      </c>
      <c r="C12" s="5" t="inlineStr">
        <is>
          <t>Managed Disks</t>
        </is>
      </c>
      <c r="D12" s="5" t="inlineStr">
        <is>
          <t>Qdrant storage</t>
        </is>
      </c>
      <c r="E12" s="5" t="inlineStr">
        <is>
          <t>UAE North</t>
        </is>
      </c>
      <c r="F12" s="5" t="inlineStr">
        <is>
          <t>Premium SSD P15 256 GB per node</t>
        </is>
      </c>
      <c r="G12" s="5" t="n">
        <v>3</v>
      </c>
      <c r="H12" s="6" t="n">
        <v>38</v>
      </c>
      <c r="I12" s="7">
        <f>G12*H12</f>
        <v/>
      </c>
      <c r="J12" s="7">
        <f>I12</f>
        <v/>
      </c>
    </row>
    <row r="13">
      <c r="A13" s="8" t="n"/>
      <c r="B13" s="5" t="inlineStr">
        <is>
          <t>Event broker</t>
        </is>
      </c>
      <c r="C13" s="5" t="inlineStr">
        <is>
          <t>Virtual Machines (AKS nodes)</t>
        </is>
      </c>
      <c r="D13" s="5" t="inlineStr">
        <is>
          <t>Broker cluster: RabbitMQ or Kafka (client's choice, ADR-0057)</t>
        </is>
      </c>
      <c r="E13" s="5" t="inlineStr">
        <is>
          <t>UAE North</t>
        </is>
      </c>
      <c r="F13" s="5" t="inlineStr">
        <is>
          <t>D2s v5 (2 vCPU, 8 GB) x3, zones 1-3; re-price if a managed service is chosen</t>
        </is>
      </c>
      <c r="G13" s="5" t="n">
        <v>3</v>
      </c>
      <c r="H13" s="6" t="n">
        <v>88</v>
      </c>
      <c r="I13" s="7">
        <f>G13*H13</f>
        <v/>
      </c>
      <c r="J13" s="7">
        <f>I13</f>
        <v/>
      </c>
    </row>
    <row r="14">
      <c r="A14" s="8" t="n"/>
      <c r="B14" s="5" t="inlineStr">
        <is>
          <t>Database</t>
        </is>
      </c>
      <c r="C14" s="5" t="inlineStr">
        <is>
          <t>Azure Database for PostgreSQL</t>
        </is>
      </c>
      <c r="D14" s="5" t="inlineStr">
        <is>
          <t>Primary with zone-redundant standby: control DB + DB per tenant</t>
        </is>
      </c>
      <c r="E14" s="5" t="inlineStr">
        <is>
          <t>UAE North</t>
        </is>
      </c>
      <c r="F14" s="5" t="inlineStr">
        <is>
          <t>Flexible Server 16, General Purpose D4ds v5 (4 vCore, 16 GB) x2 (primary + standby)</t>
        </is>
      </c>
      <c r="G14" s="5" t="n">
        <v>2</v>
      </c>
      <c r="H14" s="6" t="n">
        <v>320</v>
      </c>
      <c r="I14" s="7">
        <f>G14*H14</f>
        <v/>
      </c>
      <c r="J14" s="7">
        <f>I14</f>
        <v/>
      </c>
    </row>
    <row r="15">
      <c r="A15" s="8" t="n"/>
      <c r="B15" s="5" t="inlineStr">
        <is>
          <t>Database</t>
        </is>
      </c>
      <c r="C15" s="5" t="inlineStr">
        <is>
          <t>Azure Database for PostgreSQL</t>
        </is>
      </c>
      <c r="D15" s="5" t="inlineStr">
        <is>
          <t>Storage, primary and standby</t>
        </is>
      </c>
      <c r="E15" s="5" t="inlineStr">
        <is>
          <t>UAE North</t>
        </is>
      </c>
      <c r="F15" s="5" t="inlineStr">
        <is>
          <t>256 GB Premium SSD each; PITR backup 35 days included up to storage size</t>
        </is>
      </c>
      <c r="G15" s="5" t="n">
        <v>2</v>
      </c>
      <c r="H15" s="6" t="n">
        <v>36</v>
      </c>
      <c r="I15" s="7">
        <f>G15*H15</f>
        <v/>
      </c>
      <c r="J15" s="7">
        <f>I15</f>
        <v/>
      </c>
    </row>
    <row r="16">
      <c r="A16" s="8" t="n"/>
      <c r="B16" s="5" t="inlineStr">
        <is>
          <t>Database</t>
        </is>
      </c>
      <c r="C16" s="5" t="inlineStr">
        <is>
          <t>Azure Database for PostgreSQL</t>
        </is>
      </c>
      <c r="D16" s="5" t="inlineStr">
        <is>
          <t>Read replicas (reads; gate checks never read here)</t>
        </is>
      </c>
      <c r="E16" s="5" t="inlineStr">
        <is>
          <t>UAE North</t>
        </is>
      </c>
      <c r="F16" s="5" t="inlineStr">
        <is>
          <t>General Purpose D4ds v5 + 256 GB each</t>
        </is>
      </c>
      <c r="G16" s="5" t="n">
        <v>2</v>
      </c>
      <c r="H16" s="6" t="n">
        <v>356</v>
      </c>
      <c r="I16" s="7">
        <f>G16*H16</f>
        <v/>
      </c>
      <c r="J16" s="7">
        <f>I16</f>
        <v/>
      </c>
    </row>
    <row r="17">
      <c r="A17" s="8" t="n"/>
      <c r="B17" s="5" t="inlineStr">
        <is>
          <t>Database</t>
        </is>
      </c>
      <c r="C17" s="5" t="inlineStr">
        <is>
          <t>Azure Database for PostgreSQL</t>
        </is>
      </c>
      <c r="D17" s="5" t="inlineStr">
        <is>
          <t>Reporting replica (lag-tolerant, no writes)</t>
        </is>
      </c>
      <c r="E17" s="5" t="inlineStr">
        <is>
          <t>UAE North</t>
        </is>
      </c>
      <c r="F17" s="5" t="inlineStr">
        <is>
          <t>General Purpose D2ds v5 (2 vCore, 8 GB) + 256 GB</t>
        </is>
      </c>
      <c r="G17" s="5" t="n">
        <v>1</v>
      </c>
      <c r="H17" s="6" t="n">
        <v>196</v>
      </c>
      <c r="I17" s="7">
        <f>G17*H17</f>
        <v/>
      </c>
      <c r="J17" s="7">
        <f>I17</f>
        <v/>
      </c>
    </row>
    <row r="18">
      <c r="A18" s="8" t="n"/>
      <c r="B18" s="5" t="inlineStr">
        <is>
          <t>Database</t>
        </is>
      </c>
      <c r="C18" s="5" t="inlineStr">
        <is>
          <t>Azure Database for PostgreSQL</t>
        </is>
      </c>
      <c r="D18" s="5" t="inlineStr">
        <is>
          <t>AI log database (decision records, prompts)</t>
        </is>
      </c>
      <c r="E18" s="5" t="inlineStr">
        <is>
          <t>UAE North</t>
        </is>
      </c>
      <c r="F18" s="5" t="inlineStr">
        <is>
          <t>General Purpose D4ds v5 + 1 TB</t>
        </is>
      </c>
      <c r="G18" s="5" t="n">
        <v>1</v>
      </c>
      <c r="H18" s="6" t="n">
        <v>460</v>
      </c>
      <c r="I18" s="7">
        <f>G18*H18</f>
        <v/>
      </c>
      <c r="J18" s="7">
        <f>I18</f>
        <v/>
      </c>
    </row>
    <row r="19">
      <c r="A19" s="8" t="n"/>
      <c r="B19" s="5" t="inlineStr">
        <is>
          <t>Cache</t>
        </is>
      </c>
      <c r="C19" s="5" t="inlineStr">
        <is>
          <t>Azure Cache for Redis</t>
        </is>
      </c>
      <c r="D19" s="5" t="inlineStr">
        <is>
          <t>Sessions, idempotency keys, caches, AI features</t>
        </is>
      </c>
      <c r="E19" s="5" t="inlineStr">
        <is>
          <t>UAE North</t>
        </is>
      </c>
      <c r="F19" s="5" t="inlineStr">
        <is>
          <t>Premium P2 (13 GB), zone-redundant, private endpoint</t>
        </is>
      </c>
      <c r="G19" s="5" t="n">
        <v>1</v>
      </c>
      <c r="H19" s="6" t="n">
        <v>1000</v>
      </c>
      <c r="I19" s="7">
        <f>G19*H19</f>
        <v/>
      </c>
      <c r="J19" s="7">
        <f>I19</f>
        <v/>
      </c>
    </row>
    <row r="20">
      <c r="A20" s="8" t="n"/>
      <c r="B20" s="5" t="inlineStr">
        <is>
          <t>Storage</t>
        </is>
      </c>
      <c r="C20" s="5" t="inlineStr">
        <is>
          <t>Storage account (Blob, ZRS)</t>
        </is>
      </c>
      <c r="D20" s="5" t="inlineStr">
        <is>
          <t>Media, exports, Qdrant snapshots, database dumps</t>
        </is>
      </c>
      <c r="E20" s="5" t="inlineStr">
        <is>
          <t>UAE North</t>
        </is>
      </c>
      <c r="F20" s="5" t="inlineStr">
        <is>
          <t>Hot tier, zone-redundant, 2 TB, UAE North only</t>
        </is>
      </c>
      <c r="G20" s="5" t="n">
        <v>1</v>
      </c>
      <c r="H20" s="6" t="n">
        <v>60</v>
      </c>
      <c r="I20" s="7">
        <f>G20*H20</f>
        <v/>
      </c>
      <c r="J20" s="7">
        <f>I20</f>
        <v/>
      </c>
    </row>
    <row r="21">
      <c r="A21" s="8" t="n"/>
      <c r="B21" s="5" t="inlineStr">
        <is>
          <t>Storage</t>
        </is>
      </c>
      <c r="C21" s="5" t="inlineStr">
        <is>
          <t>Container Registry</t>
        </is>
      </c>
      <c r="D21" s="5" t="inlineStr">
        <is>
          <t>Images for the five deployables</t>
        </is>
      </c>
      <c r="E21" s="5" t="inlineStr">
        <is>
          <t>UAE North</t>
        </is>
      </c>
      <c r="F21" s="5" t="inlineStr">
        <is>
          <t>Standard</t>
        </is>
      </c>
      <c r="G21" s="5" t="n">
        <v>1</v>
      </c>
      <c r="H21" s="6" t="n">
        <v>20</v>
      </c>
      <c r="I21" s="7">
        <f>G21*H21</f>
        <v/>
      </c>
      <c r="J21" s="7">
        <f>I21</f>
        <v/>
      </c>
    </row>
    <row r="22">
      <c r="A22" s="8" t="n"/>
      <c r="B22" s="5" t="inlineStr">
        <is>
          <t>Security</t>
        </is>
      </c>
      <c r="C22" s="5" t="inlineStr">
        <is>
          <t>Key Vault</t>
        </is>
      </c>
      <c r="D22" s="5" t="inlineStr">
        <is>
          <t>Secrets, per-tenant keys, Qdrant JWT signing keys</t>
        </is>
      </c>
      <c r="E22" s="5" t="inlineStr">
        <is>
          <t>UAE North</t>
        </is>
      </c>
      <c r="F22" s="5" t="inlineStr">
        <is>
          <t>Premium (HSM-backed keys)</t>
        </is>
      </c>
      <c r="G22" s="5" t="n">
        <v>1</v>
      </c>
      <c r="H22" s="6" t="n">
        <v>10</v>
      </c>
      <c r="I22" s="7">
        <f>G22*H22</f>
        <v/>
      </c>
      <c r="J22" s="7">
        <f>I22</f>
        <v/>
      </c>
    </row>
    <row r="23">
      <c r="A23" s="8" t="n"/>
      <c r="B23" s="5" t="inlineStr">
        <is>
          <t>Network</t>
        </is>
      </c>
      <c r="C23" s="5" t="inlineStr">
        <is>
          <t>Azure Front Door</t>
        </is>
      </c>
      <c r="D23" s="5" t="inlineStr">
        <is>
          <t>Single entry for web, apps and APIs, with WAF</t>
        </is>
      </c>
      <c r="E23" s="5" t="inlineStr">
        <is>
          <t>UAE North</t>
        </is>
      </c>
      <c r="F23" s="5" t="inlineStr">
        <is>
          <t>Premium: WAF managed rules and bot protection, Private Link origin; base + estimated traffic</t>
        </is>
      </c>
      <c r="G23" s="5" t="n">
        <v>1</v>
      </c>
      <c r="H23" s="6" t="n">
        <v>450</v>
      </c>
      <c r="I23" s="7">
        <f>G23*H23</f>
        <v/>
      </c>
      <c r="J23" s="7">
        <f>2*H23</f>
        <v/>
      </c>
    </row>
    <row r="24">
      <c r="A24" s="8" t="n"/>
      <c r="B24" s="5" t="inlineStr">
        <is>
          <t>Network</t>
        </is>
      </c>
      <c r="C24" s="5" t="inlineStr">
        <is>
          <t>NAT Gateway</t>
        </is>
      </c>
      <c r="D24" s="5" t="inlineStr">
        <is>
          <t>One static egress IP for payment and e-invoicing allow-lists</t>
        </is>
      </c>
      <c r="E24" s="5" t="inlineStr">
        <is>
          <t>UAE North</t>
        </is>
      </c>
      <c r="F24" s="5" t="inlineStr">
        <is>
          <t>730 hours, 1 TB processed</t>
        </is>
      </c>
      <c r="G24" s="5" t="n">
        <v>1</v>
      </c>
      <c r="H24" s="6" t="n">
        <v>80</v>
      </c>
      <c r="I24" s="7">
        <f>G24*H24</f>
        <v/>
      </c>
      <c r="J24" s="7">
        <f>I24</f>
        <v/>
      </c>
    </row>
    <row r="25">
      <c r="A25" s="8" t="n"/>
      <c r="B25" s="5" t="inlineStr">
        <is>
          <t>Network</t>
        </is>
      </c>
      <c r="C25" s="5" t="inlineStr">
        <is>
          <t>Azure Bastion</t>
        </is>
      </c>
      <c r="D25" s="5" t="inlineStr">
        <is>
          <t>Administrative access only</t>
        </is>
      </c>
      <c r="E25" s="5" t="inlineStr">
        <is>
          <t>UAE North</t>
        </is>
      </c>
      <c r="F25" s="5" t="inlineStr">
        <is>
          <t>Basic, 730 hours</t>
        </is>
      </c>
      <c r="G25" s="5" t="n">
        <v>1</v>
      </c>
      <c r="H25" s="6" t="n">
        <v>139</v>
      </c>
      <c r="I25" s="7">
        <f>G25*H25</f>
        <v/>
      </c>
      <c r="J25" s="7">
        <f>I25</f>
        <v/>
      </c>
    </row>
    <row r="26">
      <c r="A26" s="8" t="n"/>
      <c r="B26" s="5" t="inlineStr">
        <is>
          <t>Network</t>
        </is>
      </c>
      <c r="C26" s="5" t="inlineStr">
        <is>
          <t>Private Link</t>
        </is>
      </c>
      <c r="D26" s="5" t="inlineStr">
        <is>
          <t>Private endpoints and private DNS zones</t>
        </is>
      </c>
      <c r="E26" s="5" t="inlineStr">
        <is>
          <t>UAE North</t>
        </is>
      </c>
      <c r="F26" s="5" t="inlineStr">
        <is>
          <t>About 6 endpoints</t>
        </is>
      </c>
      <c r="G26" s="5" t="n">
        <v>1</v>
      </c>
      <c r="H26" s="6" t="n">
        <v>50</v>
      </c>
      <c r="I26" s="7">
        <f>G26*H26</f>
        <v/>
      </c>
      <c r="J26" s="7">
        <f>I26</f>
        <v/>
      </c>
    </row>
    <row r="27">
      <c r="A27" s="8" t="n"/>
      <c r="B27" s="5" t="inlineStr">
        <is>
          <t>Network</t>
        </is>
      </c>
      <c r="C27" s="5" t="inlineStr">
        <is>
          <t>Bandwidth</t>
        </is>
      </c>
      <c r="D27" s="5" t="inlineStr">
        <is>
          <t>Outbound data transfer</t>
        </is>
      </c>
      <c r="E27" s="5" t="inlineStr">
        <is>
          <t>UAE North</t>
        </is>
      </c>
      <c r="F27" s="5" t="inlineStr">
        <is>
          <t>About 2 TB a month</t>
        </is>
      </c>
      <c r="G27" s="5" t="n">
        <v>1</v>
      </c>
      <c r="H27" s="6" t="n">
        <v>180</v>
      </c>
      <c r="I27" s="7">
        <f>G27*H27</f>
        <v/>
      </c>
      <c r="J27" s="7">
        <f>2*H27</f>
        <v/>
      </c>
    </row>
    <row r="28">
      <c r="A28" s="8" t="n"/>
      <c r="B28" s="5" t="inlineStr">
        <is>
          <t>Operations</t>
        </is>
      </c>
      <c r="C28" s="5" t="inlineStr">
        <is>
          <t>Azure Monitor / Log Analytics</t>
        </is>
      </c>
      <c r="D28" s="5" t="inlineStr">
        <is>
          <t>Logs, metrics, alerts, dashboards</t>
        </is>
      </c>
      <c r="E28" s="5" t="inlineStr">
        <is>
          <t>UAE North</t>
        </is>
      </c>
      <c r="F28" s="5" t="inlineStr">
        <is>
          <t>About 60 GB ingested a month</t>
        </is>
      </c>
      <c r="G28" s="5" t="n">
        <v>1</v>
      </c>
      <c r="H28" s="6" t="n">
        <v>200</v>
      </c>
      <c r="I28" s="7">
        <f>G28*H28</f>
        <v/>
      </c>
      <c r="J28" s="7">
        <f>I28</f>
        <v/>
      </c>
    </row>
    <row r="29">
      <c r="A29" s="8" t="n"/>
      <c r="B29" s="5" t="inlineStr">
        <is>
          <t>Operations</t>
        </is>
      </c>
      <c r="C29" s="5" t="inlineStr">
        <is>
          <t>Azure Backup</t>
        </is>
      </c>
      <c r="D29" s="5" t="inlineStr">
        <is>
          <t>Snapshots of Qdrant and broker disks</t>
        </is>
      </c>
      <c r="E29" s="5" t="inlineStr">
        <is>
          <t>UAE North</t>
        </is>
      </c>
      <c r="F29" s="5" t="inlineStr">
        <is>
          <t>Daily, 30 days, UAE North</t>
        </is>
      </c>
      <c r="G29" s="5" t="n">
        <v>1</v>
      </c>
      <c r="H29" s="6" t="n">
        <v>40</v>
      </c>
      <c r="I29" s="7">
        <f>G29*H29</f>
        <v/>
      </c>
      <c r="J29" s="7">
        <f>I29</f>
        <v/>
      </c>
    </row>
    <row r="30">
      <c r="A30" s="8" t="n"/>
      <c r="B30" s="5" t="inlineStr">
        <is>
          <t>Operations</t>
        </is>
      </c>
      <c r="C30" s="5" t="inlineStr">
        <is>
          <t>Microsoft Defender for Cloud</t>
        </is>
      </c>
      <c r="D30" s="5" t="inlineStr">
        <is>
          <t>Servers, containers and databases</t>
        </is>
      </c>
      <c r="E30" s="5" t="inlineStr">
        <is>
          <t>UAE North</t>
        </is>
      </c>
      <c r="F30" s="5" t="inlineStr">
        <is>
          <t>Estimated</t>
        </is>
      </c>
      <c r="G30" s="5" t="n">
        <v>1</v>
      </c>
      <c r="H30" s="6" t="n">
        <v>150</v>
      </c>
      <c r="I30" s="7">
        <f>G30*H30</f>
        <v/>
      </c>
      <c r="J30" s="7">
        <f>I30</f>
        <v/>
      </c>
    </row>
    <row r="31">
      <c r="A31" s="9" t="n"/>
      <c r="B31" s="5" t="inlineStr">
        <is>
          <t>AI (usage)</t>
        </is>
      </c>
      <c r="C31" s="5" t="inlineStr">
        <is>
          <t>Azure OpenAI</t>
        </is>
      </c>
      <c r="D31" s="5" t="inlineStr">
        <is>
          <t>Language model calls (re-billed per token, AI-D02)</t>
        </is>
      </c>
      <c r="E31" s="5" t="inlineStr">
        <is>
          <t>UAE North</t>
        </is>
      </c>
      <c r="F31" s="5" t="inlineStr">
        <is>
          <t>Usage-based; not a fixed hosting cost</t>
        </is>
      </c>
      <c r="G31" s="5" t="n">
        <v>1</v>
      </c>
      <c r="H31" s="6" t="n">
        <v>0</v>
      </c>
      <c r="I31" s="7">
        <f>G31*H31</f>
        <v/>
      </c>
      <c r="J31" s="7">
        <f>I31</f>
        <v/>
      </c>
    </row>
    <row r="32">
      <c r="F32" s="10" t="inlineStr">
        <is>
          <t>USD - Total cost per month</t>
        </is>
      </c>
      <c r="I32" s="11">
        <f>SUM(I7:I31)</f>
        <v/>
      </c>
      <c r="J32" s="12">
        <f>SUM(J7:J31)</f>
        <v/>
      </c>
    </row>
    <row r="33">
      <c r="F33" s="10" t="inlineStr">
        <is>
          <t>AED - Total cost per month</t>
        </is>
      </c>
      <c r="I33" s="11">
        <f>I32*$C$3</f>
        <v/>
      </c>
      <c r="J33" s="12">
        <f>J32*$C$3</f>
        <v/>
      </c>
    </row>
    <row r="34">
      <c r="F34" s="10" t="inlineStr">
        <is>
          <t>AED - Total cost per year</t>
        </is>
      </c>
      <c r="I34" s="11">
        <f>I33*12</f>
        <v/>
      </c>
    </row>
    <row r="35">
      <c r="F35" s="10" t="inlineStr">
        <is>
          <t>AED - Total price per year with margin</t>
        </is>
      </c>
      <c r="I35" s="11">
        <f>I34*(1+$C$4)</f>
        <v/>
      </c>
    </row>
    <row r="37">
      <c r="B37" s="13" t="inlineStr">
        <is>
          <t>Notes - Production</t>
        </is>
      </c>
    </row>
    <row r="38" ht="32" customHeight="1">
      <c r="B38" s="14" t="inlineStr">
        <is>
          <t>Prices are estimates for Azure region UAE North, pay as you go, 730 hours a month, 30 September 2026. Confirm each line in the Azure pricing calculator for UAE North before quoting; reserved instances (1 or 3 years) lower compute by roughly 30-55%.</t>
        </is>
      </c>
    </row>
    <row r="39" ht="32" customHeight="1">
      <c r="B39" s="14" t="inlineStr">
        <is>
          <t>Every store is hosted in the UAE, backups and disaster recovery included. Qdrant was approved on that condition (30 September).</t>
        </is>
      </c>
    </row>
    <row r="40" ht="32" customHeight="1">
      <c r="B40" s="14" t="inlineStr">
        <is>
          <t>One production cell serves many tenants: each tenant has its own PostgreSQL database and its own Qdrant collection with a collection-scoped key.</t>
        </is>
      </c>
    </row>
    <row r="41" ht="32" customHeight="1">
      <c r="B41" s="14" t="inlineStr">
        <is>
          <t>"When scaled up" doubles the autoscaled lines (workload and AI pools, Front Door traffic, bandwidth) for busy periods such as an on-sale or a holiday peak.</t>
        </is>
      </c>
    </row>
    <row r="42" ht="32" customHeight="1">
      <c r="B42" s="14" t="inlineStr">
        <is>
          <t>Not included: Azure OpenAI tokens (billed per use), SMS, email and WhatsApp fees, payment provider fees, the e-invoicing provider, Apple and Google developer accounts, and venue hardware.</t>
        </is>
      </c>
    </row>
    <row r="43" ht="32" customHeight="1">
      <c r="B43" s="14" t="inlineStr">
        <is>
          <t>The venue edge node (one per venue, runs the gates and POS offline) is venue hardware, not Azure: recommended 8 cores, 32 GB RAM, 1 TB SSD, two units per venue for failover.</t>
        </is>
      </c>
    </row>
    <row r="44" ht="32" customHeight="1">
      <c r="B44" s="14" t="inlineStr">
        <is>
          <t>The event broker is RabbitMQ or Kafka, the client's choice. It is priced self-hosted on AKS; a managed service is re-priced when chosen.</t>
        </is>
      </c>
    </row>
    <row r="45" ht="32" customHeight="1">
      <c r="B45" s="14" t="inlineStr">
        <is>
          <t>Zones 1-3 in UAE North: PostgreSQL zone-redundant standby, Qdrant and broker three-node clusters, AKS node pools across zones, Redis Premium zone-redundant.</t>
        </is>
      </c>
    </row>
    <row r="48">
      <c r="A48" s="3" t="inlineStr">
        <is>
          <t>Environment</t>
        </is>
      </c>
      <c r="B48" s="3" t="inlineStr">
        <is>
          <t>Group</t>
        </is>
      </c>
      <c r="C48" s="3" t="inlineStr">
        <is>
          <t>Azure service type</t>
        </is>
      </c>
      <c r="D48" s="3" t="inlineStr">
        <is>
          <t>Service description</t>
        </is>
      </c>
      <c r="E48" s="3" t="inlineStr">
        <is>
          <t>Region</t>
        </is>
      </c>
      <c r="F48" s="3" t="inlineStr">
        <is>
          <t>Specs description</t>
        </is>
      </c>
      <c r="G48" s="3" t="inlineStr">
        <is>
          <t>Qty</t>
        </is>
      </c>
      <c r="H48" s="3" t="inlineStr">
        <is>
          <t>Unit price (USD / month)</t>
        </is>
      </c>
      <c r="I48" s="3" t="inlineStr">
        <is>
          <t>Estimated monthly cost (USD)</t>
        </is>
      </c>
      <c r="J48" s="3" t="inlineStr">
        <is>
          <t>When solution is scaled up (USD)</t>
        </is>
      </c>
    </row>
    <row r="49">
      <c r="A49" s="4" t="inlineStr">
        <is>
          <t>Pre-production</t>
        </is>
      </c>
      <c r="B49" s="5" t="inlineStr">
        <is>
          <t>Compute (AKS)</t>
        </is>
      </c>
      <c r="C49" s="5" t="inlineStr">
        <is>
          <t>Azure Kubernetes Service</t>
        </is>
      </c>
      <c r="D49" s="5" t="inlineStr">
        <is>
          <t>Control plane</t>
        </is>
      </c>
      <c r="E49" s="5" t="inlineStr">
        <is>
          <t>UAE North</t>
        </is>
      </c>
      <c r="F49" s="5" t="inlineStr">
        <is>
          <t>Free tier</t>
        </is>
      </c>
      <c r="G49" s="5" t="n">
        <v>1</v>
      </c>
      <c r="H49" s="6" t="n">
        <v>0</v>
      </c>
      <c r="I49" s="7">
        <f>G49*H49</f>
        <v/>
      </c>
      <c r="J49" s="7">
        <f>I49</f>
        <v/>
      </c>
    </row>
    <row r="50">
      <c r="A50" s="8" t="n"/>
      <c r="B50" s="5" t="inlineStr">
        <is>
          <t>Compute (AKS)</t>
        </is>
      </c>
      <c r="C50" s="5" t="inlineStr">
        <is>
          <t>Virtual Machines (AKS nodes)</t>
        </is>
      </c>
      <c r="D50" s="5" t="inlineStr">
        <is>
          <t>System and workload nodes, all five deployables</t>
        </is>
      </c>
      <c r="E50" s="5" t="inlineStr">
        <is>
          <t>UAE North</t>
        </is>
      </c>
      <c r="F50" s="5" t="inlineStr">
        <is>
          <t>D8s v5 (8 vCPU, 32 GB) x2 + D4s v5 x1, Linux</t>
        </is>
      </c>
      <c r="G50" s="5" t="n">
        <v>1</v>
      </c>
      <c r="H50" s="6" t="n">
        <v>875</v>
      </c>
      <c r="I50" s="7">
        <f>G50*H50</f>
        <v/>
      </c>
      <c r="J50" s="7">
        <f>I50</f>
        <v/>
      </c>
    </row>
    <row r="51">
      <c r="A51" s="8" t="n"/>
      <c r="B51" s="5" t="inlineStr">
        <is>
          <t>Vector store</t>
        </is>
      </c>
      <c r="C51" s="5" t="inlineStr">
        <is>
          <t>Virtual Machines (AKS nodes)</t>
        </is>
      </c>
      <c r="D51" s="5" t="inlineStr">
        <is>
          <t>Qdrant, single node</t>
        </is>
      </c>
      <c r="E51" s="5" t="inlineStr">
        <is>
          <t>UAE North</t>
        </is>
      </c>
      <c r="F51" s="5" t="inlineStr">
        <is>
          <t>E2s v5 (2 vCPU, 16 GB) + P10 128 GB</t>
        </is>
      </c>
      <c r="G51" s="5" t="n">
        <v>1</v>
      </c>
      <c r="H51" s="6" t="n">
        <v>132</v>
      </c>
      <c r="I51" s="7">
        <f>G51*H51</f>
        <v/>
      </c>
      <c r="J51" s="7">
        <f>I51</f>
        <v/>
      </c>
    </row>
    <row r="52">
      <c r="A52" s="8" t="n"/>
      <c r="B52" s="5" t="inlineStr">
        <is>
          <t>Event broker</t>
        </is>
      </c>
      <c r="C52" s="5" t="inlineStr">
        <is>
          <t>Virtual Machines (AKS nodes)</t>
        </is>
      </c>
      <c r="D52" s="5" t="inlineStr">
        <is>
          <t>Broker, single node</t>
        </is>
      </c>
      <c r="E52" s="5" t="inlineStr">
        <is>
          <t>UAE North</t>
        </is>
      </c>
      <c r="F52" s="5" t="inlineStr">
        <is>
          <t>D2s v5 (2 vCPU, 8 GB)</t>
        </is>
      </c>
      <c r="G52" s="5" t="n">
        <v>1</v>
      </c>
      <c r="H52" s="6" t="n">
        <v>88</v>
      </c>
      <c r="I52" s="7">
        <f>G52*H52</f>
        <v/>
      </c>
      <c r="J52" s="7">
        <f>I52</f>
        <v/>
      </c>
    </row>
    <row r="53">
      <c r="A53" s="8" t="n"/>
      <c r="B53" s="5" t="inlineStr">
        <is>
          <t>Database</t>
        </is>
      </c>
      <c r="C53" s="5" t="inlineStr">
        <is>
          <t>Azure Database for PostgreSQL</t>
        </is>
      </c>
      <c r="D53" s="5" t="inlineStr">
        <is>
          <t>Control DB + test tenant DBs + AI log DB</t>
        </is>
      </c>
      <c r="E53" s="5" t="inlineStr">
        <is>
          <t>UAE North</t>
        </is>
      </c>
      <c r="F53" s="5" t="inlineStr">
        <is>
          <t>Flexible Server 16, General Purpose D2ds v5 + 256 GB, no standby, no replicas</t>
        </is>
      </c>
      <c r="G53" s="5" t="n">
        <v>1</v>
      </c>
      <c r="H53" s="6" t="n">
        <v>196</v>
      </c>
      <c r="I53" s="7">
        <f>G53*H53</f>
        <v/>
      </c>
      <c r="J53" s="7">
        <f>I53</f>
        <v/>
      </c>
    </row>
    <row r="54">
      <c r="A54" s="8" t="n"/>
      <c r="B54" s="5" t="inlineStr">
        <is>
          <t>Cache</t>
        </is>
      </c>
      <c r="C54" s="5" t="inlineStr">
        <is>
          <t>Azure Cache for Redis</t>
        </is>
      </c>
      <c r="D54" s="5" t="inlineStr">
        <is>
          <t>Test cache</t>
        </is>
      </c>
      <c r="E54" s="5" t="inlineStr">
        <is>
          <t>UAE North</t>
        </is>
      </c>
      <c r="F54" s="5" t="inlineStr">
        <is>
          <t>Standard C1 (1 GB)</t>
        </is>
      </c>
      <c r="G54" s="5" t="n">
        <v>1</v>
      </c>
      <c r="H54" s="6" t="n">
        <v>125</v>
      </c>
      <c r="I54" s="7">
        <f>G54*H54</f>
        <v/>
      </c>
      <c r="J54" s="7">
        <f>I54</f>
        <v/>
      </c>
    </row>
    <row r="55">
      <c r="A55" s="8" t="n"/>
      <c r="B55" s="5" t="inlineStr">
        <is>
          <t>Storage</t>
        </is>
      </c>
      <c r="C55" s="5" t="inlineStr">
        <is>
          <t>Storage account (Blob, LRS)</t>
        </is>
      </c>
      <c r="D55" s="5" t="inlineStr">
        <is>
          <t>Test media and snapshots</t>
        </is>
      </c>
      <c r="E55" s="5" t="inlineStr">
        <is>
          <t>UAE North</t>
        </is>
      </c>
      <c r="F55" s="5" t="inlineStr">
        <is>
          <t>Hot tier, 500 GB</t>
        </is>
      </c>
      <c r="G55" s="5" t="n">
        <v>1</v>
      </c>
      <c r="H55" s="6" t="n">
        <v>15</v>
      </c>
      <c r="I55" s="7">
        <f>G55*H55</f>
        <v/>
      </c>
      <c r="J55" s="7">
        <f>I55</f>
        <v/>
      </c>
    </row>
    <row r="56">
      <c r="A56" s="8" t="n"/>
      <c r="B56" s="5" t="inlineStr">
        <is>
          <t>Security</t>
        </is>
      </c>
      <c r="C56" s="5" t="inlineStr">
        <is>
          <t>Key Vault</t>
        </is>
      </c>
      <c r="D56" s="5" t="inlineStr">
        <is>
          <t>Test secrets</t>
        </is>
      </c>
      <c r="E56" s="5" t="inlineStr">
        <is>
          <t>UAE North</t>
        </is>
      </c>
      <c r="F56" s="5" t="inlineStr">
        <is>
          <t>Standard</t>
        </is>
      </c>
      <c r="G56" s="5" t="n">
        <v>1</v>
      </c>
      <c r="H56" s="6" t="n">
        <v>5</v>
      </c>
      <c r="I56" s="7">
        <f>G56*H56</f>
        <v/>
      </c>
      <c r="J56" s="7">
        <f>I56</f>
        <v/>
      </c>
    </row>
    <row r="57">
      <c r="A57" s="8" t="n"/>
      <c r="B57" s="5" t="inlineStr">
        <is>
          <t>Network</t>
        </is>
      </c>
      <c r="C57" s="5" t="inlineStr">
        <is>
          <t>Front Door, NAT, Bastion, Registry</t>
        </is>
      </c>
      <c r="D57" s="5" t="inlineStr">
        <is>
          <t>Shared with production</t>
        </is>
      </c>
      <c r="E57" s="5" t="inlineStr">
        <is>
          <t>UAE North</t>
        </is>
      </c>
      <c r="F57" s="5" t="inlineStr">
        <is>
          <t>Separate routes and WAF policy</t>
        </is>
      </c>
      <c r="G57" s="5" t="n">
        <v>1</v>
      </c>
      <c r="H57" s="6" t="n">
        <v>0</v>
      </c>
      <c r="I57" s="7">
        <f>G57*H57</f>
        <v/>
      </c>
      <c r="J57" s="7">
        <f>I57</f>
        <v/>
      </c>
    </row>
    <row r="58">
      <c r="A58" s="9" t="n"/>
      <c r="B58" s="5" t="inlineStr">
        <is>
          <t>Operations</t>
        </is>
      </c>
      <c r="C58" s="5" t="inlineStr">
        <is>
          <t>Azure Monitor / Log Analytics</t>
        </is>
      </c>
      <c r="D58" s="5" t="inlineStr">
        <is>
          <t>Logs and metrics</t>
        </is>
      </c>
      <c r="E58" s="5" t="inlineStr">
        <is>
          <t>UAE North</t>
        </is>
      </c>
      <c r="F58" s="5" t="inlineStr">
        <is>
          <t>About 20 GB ingested a month</t>
        </is>
      </c>
      <c r="G58" s="5" t="n">
        <v>1</v>
      </c>
      <c r="H58" s="6" t="n">
        <v>70</v>
      </c>
      <c r="I58" s="7">
        <f>G58*H58</f>
        <v/>
      </c>
      <c r="J58" s="7">
        <f>I58</f>
        <v/>
      </c>
    </row>
    <row r="59">
      <c r="F59" s="10" t="inlineStr">
        <is>
          <t>USD - Total cost per month</t>
        </is>
      </c>
      <c r="I59" s="11">
        <f>SUM(I49:I58)</f>
        <v/>
      </c>
      <c r="J59" s="12">
        <f>SUM(J49:J58)</f>
        <v/>
      </c>
    </row>
    <row r="60">
      <c r="F60" s="10" t="inlineStr">
        <is>
          <t>AED - Total cost per month</t>
        </is>
      </c>
      <c r="I60" s="11">
        <f>I59*$C$3</f>
        <v/>
      </c>
      <c r="J60" s="12">
        <f>J59*$C$3</f>
        <v/>
      </c>
    </row>
    <row r="61">
      <c r="F61" s="10" t="inlineStr">
        <is>
          <t>AED - Total cost per year</t>
        </is>
      </c>
      <c r="I61" s="11">
        <f>I60*12</f>
        <v/>
      </c>
    </row>
    <row r="62">
      <c r="F62" s="10" t="inlineStr">
        <is>
          <t>AED - Total price per year with margin</t>
        </is>
      </c>
      <c r="I62" s="11">
        <f>I61*(1+$C$4)</f>
        <v/>
      </c>
    </row>
    <row r="64">
      <c r="B64" s="13" t="inlineStr">
        <is>
          <t>Notes - Pre-production</t>
        </is>
      </c>
    </row>
    <row r="65" ht="32" customHeight="1">
      <c r="B65" s="14" t="inlineStr">
        <is>
          <t>One pre-production environment for acceptance testing and client demos; development runs locally on docker-compose and on this cluster.</t>
        </is>
      </c>
    </row>
    <row r="66" ht="32" customHeight="1">
      <c r="B66" s="14" t="inlineStr">
        <is>
          <t>Zero-priced lines are covered by production.</t>
        </is>
      </c>
    </row>
  </sheetData>
  <mergeCells count="12">
    <mergeCell ref="B44:I44"/>
    <mergeCell ref="A7:A31"/>
    <mergeCell ref="B39:I39"/>
    <mergeCell ref="B38:I38"/>
    <mergeCell ref="B42:I42"/>
    <mergeCell ref="B65:I65"/>
    <mergeCell ref="B66:I66"/>
    <mergeCell ref="B45:I45"/>
    <mergeCell ref="B43:I43"/>
    <mergeCell ref="B41:I41"/>
    <mergeCell ref="A49:A58"/>
    <mergeCell ref="B40:I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70" customWidth="1" min="2" max="2"/>
    <col width="60" customWidth="1" min="3" max="3"/>
    <col width="34" customWidth="1" min="4" max="4"/>
  </cols>
  <sheetData>
    <row r="1">
      <c r="A1" s="15" t="inlineStr">
        <is>
          <t>Deployable</t>
        </is>
      </c>
      <c r="B1" s="15" t="inlineStr">
        <is>
          <t>What it is</t>
        </is>
      </c>
      <c r="C1" s="15" t="inlineStr">
        <is>
          <t>Modules</t>
        </is>
      </c>
      <c r="D1" s="15" t="inlineStr">
        <is>
          <t>Runs on</t>
        </is>
      </c>
    </row>
    <row r="2">
      <c r="A2" s="14" t="inlineStr">
        <is>
          <t>commerce</t>
        </is>
      </c>
      <c r="B2" s="14" t="inlineStr">
        <is>
          <t>The sale path: order, payment and ledger commit in one transaction. Autoscales on requests per second.</t>
        </is>
      </c>
      <c r="C2" s="14" t="inlineStr">
        <is>
          <t>Catalogue, Identity, Ledger, Order, Tenancy, Wallet</t>
        </is>
      </c>
      <c r="D2" s="14" t="inlineStr">
        <is>
          <t>Workload pool</t>
        </is>
      </c>
    </row>
    <row r="3">
      <c r="A3" s="14" t="inlineStr">
        <is>
          <t>access</t>
        </is>
      </c>
      <c r="B3" s="14" t="inlineStr">
        <is>
          <t>The gate hot path, flat high rate, offline package. The same module code builds the venue edge node.</t>
        </is>
      </c>
      <c r="C3" s="14" t="inlineStr">
        <is>
          <t>Access</t>
        </is>
      </c>
      <c r="D3" s="14" t="inlineStr">
        <is>
          <t>Workload pool (and the venue edge node)</t>
        </is>
      </c>
    </row>
    <row r="4">
      <c r="A4" s="14" t="inlineStr">
        <is>
          <t>operations</t>
        </is>
      </c>
      <c r="B4" s="14" t="inlineStr">
        <is>
          <t>Back office and engagement. Nothing that takes money waits on it.</t>
        </is>
      </c>
      <c r="C4" s="14" t="inlineStr">
        <is>
          <t>CrossRegion, Fnb, Inventory, Marketing, Platform, Reporting, Retail, VenueOps, WhiteLabel</t>
        </is>
      </c>
      <c r="D4" s="14" t="inlineStr">
        <is>
          <t>Workload pool</t>
        </is>
      </c>
    </row>
    <row r="5">
      <c r="A5" s="14" t="inlineStr">
        <is>
          <t>ticvai-ai</t>
        </is>
      </c>
      <c r="B5" s="14" t="inlineStr">
        <is>
          <t>AI, in Python, isolated (ADR-0020): three process groups, read-only on the transactional schemas.</t>
        </is>
      </c>
      <c r="C5" s="14" t="inlineStr">
        <is>
          <t>Ai</t>
        </is>
      </c>
      <c r="D5" s="14" t="inlineStr">
        <is>
          <t>AI pool</t>
        </is>
      </c>
    </row>
    <row r="6">
      <c r="A6" s="14" t="inlineStr">
        <is>
          <t>workers</t>
        </is>
      </c>
      <c r="B6" s="14" t="inlineStr">
        <is>
          <t>No module of its own: the outbox relay (one per region, ADR-0058), every module's event consumers and scheduled jobs. Scales on queue depth.</t>
        </is>
      </c>
      <c r="C6" s="14" t="inlineStr">
        <is>
          <t>-</t>
        </is>
      </c>
      <c r="D6" s="14" t="inlineStr">
        <is>
          <t>Workload pool</t>
        </is>
      </c>
    </row>
    <row r="7">
      <c r="A7" s="14" t="n"/>
      <c r="B7" s="14" t="n"/>
      <c r="C7" s="14" t="n"/>
      <c r="D7" s="14" t="n"/>
    </row>
    <row r="8">
      <c r="A8" s="14" t="inlineStr">
        <is>
          <t>Data stores</t>
        </is>
      </c>
      <c r="B8" s="14" t="inlineStr"/>
      <c r="C8" s="14" t="inlineStr"/>
      <c r="D8" s="14" t="inlineStr"/>
    </row>
    <row r="9">
      <c r="A9" s="14" t="inlineStr">
        <is>
          <t>PostgreSQL 16</t>
        </is>
      </c>
      <c r="B9" s="14" t="inlineStr">
        <is>
          <t>Control DB and one database per tenant; read replicas; reporting replica; AI log DB</t>
        </is>
      </c>
      <c r="C9" s="14" t="inlineStr"/>
      <c r="D9" s="14" t="inlineStr">
        <is>
          <t>Flexible Server</t>
        </is>
      </c>
    </row>
    <row r="10">
      <c r="A10" s="14" t="inlineStr">
        <is>
          <t>Qdrant</t>
        </is>
      </c>
      <c r="B10" s="14" t="inlineStr">
        <is>
          <t>Vectors; one collection per tenant, collection-scoped JWT (ADR-0049)</t>
        </is>
      </c>
      <c r="C10" s="14" t="inlineStr"/>
      <c r="D10" s="14" t="inlineStr">
        <is>
          <t>Data pool</t>
        </is>
      </c>
    </row>
    <row r="11">
      <c r="A11" s="14" t="inlineStr">
        <is>
          <t>Redis</t>
        </is>
      </c>
      <c r="B11" s="14" t="inlineStr">
        <is>
          <t>Sessions, idempotency, caches</t>
        </is>
      </c>
      <c r="C11" s="14" t="inlineStr"/>
      <c r="D11" s="14" t="inlineStr">
        <is>
          <t>Azure Cache for Redis</t>
        </is>
      </c>
    </row>
    <row r="12">
      <c r="A12" s="14" t="inlineStr">
        <is>
          <t>Event broker</t>
        </is>
      </c>
      <c r="B12" s="14" t="inlineStr">
        <is>
          <t>RabbitMQ or Kafka, the client's choice (ADR-0057); outbox relay per region (ADR-0058)</t>
        </is>
      </c>
      <c r="C12" s="14" t="inlineStr"/>
      <c r="D12" s="14" t="inlineStr">
        <is>
          <t>Data pool</t>
        </is>
      </c>
    </row>
    <row r="13">
      <c r="A13" s="14" t="inlineStr">
        <is>
          <t>Blob storage</t>
        </is>
      </c>
      <c r="B13" s="14" t="inlineStr">
        <is>
          <t>Media, exports, snapshots, dumps</t>
        </is>
      </c>
      <c r="C13" s="14" t="inlineStr"/>
      <c r="D13" s="14" t="inlineStr">
        <is>
          <t>Storage account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70" customWidth="1" min="4" max="4"/>
  </cols>
  <sheetData>
    <row r="1">
      <c r="A1" s="15" t="inlineStr">
        <is>
          <t>Subnet</t>
        </is>
      </c>
      <c r="B1" s="15" t="inlineStr">
        <is>
          <t>Address range</t>
        </is>
      </c>
      <c r="C1" s="15" t="inlineStr">
        <is>
          <t>Holds</t>
        </is>
      </c>
      <c r="D1" s="15" t="inlineStr">
        <is>
          <t>Rule</t>
        </is>
      </c>
    </row>
    <row r="2">
      <c r="A2" s="14" t="inlineStr">
        <is>
          <t>snet-ingress</t>
        </is>
      </c>
      <c r="B2" s="14" t="inlineStr">
        <is>
          <t>10.20.0.0/24</t>
        </is>
      </c>
      <c r="C2" s="14" t="inlineStr">
        <is>
          <t>Internal load balancer and Private Link service for Front Door</t>
        </is>
      </c>
      <c r="D2" s="14" t="inlineStr">
        <is>
          <t>Inbound only from Front Door's Private Link; no public IP</t>
        </is>
      </c>
    </row>
    <row r="3">
      <c r="A3" s="14" t="inlineStr">
        <is>
          <t>snet-aks-system</t>
        </is>
      </c>
      <c r="B3" s="14" t="inlineStr">
        <is>
          <t>10.20.4.0/22</t>
        </is>
      </c>
      <c r="C3" s="14" t="inlineStr">
        <is>
          <t>AKS system node pool</t>
        </is>
      </c>
      <c r="D3" s="14" t="inlineStr">
        <is>
          <t>No inbound from outside the VNet</t>
        </is>
      </c>
    </row>
    <row r="4">
      <c r="A4" s="14" t="inlineStr">
        <is>
          <t>snet-aks-workload</t>
        </is>
      </c>
      <c r="B4" s="14" t="inlineStr">
        <is>
          <t>10.20.8.0/21</t>
        </is>
      </c>
      <c r="C4" s="14" t="inlineStr">
        <is>
          <t>Workload pool: commerce, access, operations, workers</t>
        </is>
      </c>
      <c r="D4" s="14" t="inlineStr">
        <is>
          <t>Inbound from snet-ingress only; outbound through the NAT Gateway</t>
        </is>
      </c>
    </row>
    <row r="5">
      <c r="A5" s="14" t="inlineStr">
        <is>
          <t>snet-aks-ai</t>
        </is>
      </c>
      <c r="B5" s="14" t="inlineStr">
        <is>
          <t>10.20.16.0/22</t>
        </is>
      </c>
      <c r="C5" s="14" t="inlineStr">
        <is>
          <t>AI pool: ticvai-ai, embeddings, reranker</t>
        </is>
      </c>
      <c r="D5" s="14" t="inlineStr">
        <is>
          <t>Inbound from snet-ingress and snet-aks-workload; read-only role on transactional schemas (ADR-0020)</t>
        </is>
      </c>
    </row>
    <row r="6">
      <c r="A6" s="14" t="inlineStr">
        <is>
          <t>snet-aks-data</t>
        </is>
      </c>
      <c r="B6" s="14" t="inlineStr">
        <is>
          <t>10.20.20.0/23</t>
        </is>
      </c>
      <c r="C6" s="14" t="inlineStr">
        <is>
          <t>Data pool: Qdrant cluster, broker cluster</t>
        </is>
      </c>
      <c r="D6" s="14" t="inlineStr">
        <is>
          <t>Inbound from the workload and AI pools only; Qdrant needs each tenant's collection-scoped JWT</t>
        </is>
      </c>
    </row>
    <row r="7">
      <c r="A7" s="14" t="inlineStr">
        <is>
          <t>snet-postgres</t>
        </is>
      </c>
      <c r="B7" s="14" t="inlineStr">
        <is>
          <t>10.20.24.0/24</t>
        </is>
      </c>
      <c r="C7" s="14" t="inlineStr">
        <is>
          <t>PostgreSQL Flexible Server (delegated subnet), replicas, AI log DB</t>
        </is>
      </c>
      <c r="D7" s="14" t="inlineStr">
        <is>
          <t>Inbound 5432 from the AKS subnets only (through pgbouncer); public access disabled</t>
        </is>
      </c>
    </row>
    <row r="8">
      <c r="A8" s="14" t="inlineStr">
        <is>
          <t>snet-private-endpoints</t>
        </is>
      </c>
      <c r="B8" s="14" t="inlineStr">
        <is>
          <t>10.20.25.0/24</t>
        </is>
      </c>
      <c r="C8" s="14" t="inlineStr">
        <is>
          <t>Redis, Key Vault, Blob storage, Container Registry</t>
        </is>
      </c>
      <c r="D8" s="14" t="inlineStr">
        <is>
          <t>Private endpoints with private DNS zones; public access disabled on every resource</t>
        </is>
      </c>
    </row>
    <row r="9">
      <c r="A9" s="14" t="inlineStr">
        <is>
          <t>AzureBastionSubnet</t>
        </is>
      </c>
      <c r="B9" s="14" t="inlineStr">
        <is>
          <t>10.20.26.0/26</t>
        </is>
      </c>
      <c r="C9" s="14" t="inlineStr">
        <is>
          <t>Azure Bastion</t>
        </is>
      </c>
      <c r="D9" s="14" t="inlineStr">
        <is>
          <t>The only administrative path in</t>
        </is>
      </c>
    </row>
    <row r="10">
      <c r="A10" s="14" t="inlineStr">
        <is>
          <t>AKS service range</t>
        </is>
      </c>
      <c r="B10" s="14" t="inlineStr">
        <is>
          <t>10.100.0.0/16</t>
        </is>
      </c>
      <c r="C10" s="14" t="inlineStr">
        <is>
          <t>Kubernetes services (Terraform default)</t>
        </is>
      </c>
      <c r="D10" s="14" t="inlineStr">
        <is>
          <t>Internal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2026-09-30T10:48:27Z</dcterms:created>
  <dcterms:modified xmlns:dcterms="http://purl.org/dc/terms/" xmlns:xsi="http://www.w3.org/2001/XMLSchema-instance" xsi:type="dcterms:W3CDTF">2026-09-30T10:48:27Z</dcterms:modified>
</cp:coreProperties>
</file>