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s" sheetId="1" state="visible" r:id="rId1"/>
    <sheet xmlns:r="http://schemas.openxmlformats.org/officeDocument/2006/relationships" name="Infra without HA" sheetId="2" state="visible" r:id="rId2"/>
    <sheet xmlns:r="http://schemas.openxmlformats.org/officeDocument/2006/relationships" name="Infra with High Availability" sheetId="3" state="visible" r:id="rId3"/>
    <sheet xmlns:r="http://schemas.openxmlformats.org/officeDocument/2006/relationships" name="Deployables" sheetId="4" state="visible" r:id="rId4"/>
    <sheet xmlns:r="http://schemas.openxmlformats.org/officeDocument/2006/relationships" name="Network" sheetId="5" state="visible" r:id="rId5"/>
    <sheet xmlns:r="http://schemas.openxmlformats.org/officeDocument/2006/relationships" name="Service map" sheetId="6" state="visible" r:id="rId6"/>
    <sheet xmlns:r="http://schemas.openxmlformats.org/officeDocument/2006/relationships" name="DR (open)" sheetId="7" state="visible" r:id="rId7"/>
    <sheet xmlns:r="http://schemas.openxmlformats.org/officeDocument/2006/relationships" name="AWS rates" sheetId="8" state="visible" r:id="rId8"/>
    <sheet xmlns:r="http://schemas.openxmlformats.org/officeDocument/2006/relationships" name="Azure vs AWS" sheetId="9" state="visible" r:id="rId9"/>
  </sheets>
  <definedNames/>
  <calcPr calcId="124519" fullCalcOnLoad="1"/>
</workbook>
</file>

<file path=xl/styles.xml><?xml version="1.0" encoding="utf-8"?>
<styleSheet xmlns="http://schemas.openxmlformats.org/spreadsheetml/2006/main">
  <numFmts count="2">
    <numFmt numFmtId="164" formatCode="#,##0.##"/>
    <numFmt numFmtId="165" formatCode="+0.0%;-0.0%"/>
  </numFmts>
  <fonts count="5">
    <font>
      <name val="Calibri"/>
      <family val="2"/>
      <color theme="1"/>
      <sz val="11"/>
      <scheme val="minor"/>
    </font>
    <font>
      <b val="1"/>
      <sz val="14"/>
    </font>
    <font>
      <b val="1"/>
      <color rgb="00FFFFFF"/>
    </font>
    <font>
      <b val="1"/>
      <sz val="12"/>
    </font>
    <font>
      <b val="1"/>
    </font>
  </fonts>
  <fills count="5">
    <fill>
      <patternFill/>
    </fill>
    <fill>
      <patternFill patternType="gray125"/>
    </fill>
    <fill>
      <patternFill patternType="solid">
        <fgColor rgb="001F3056"/>
      </patternFill>
    </fill>
    <fill>
      <patternFill patternType="solid">
        <fgColor rgb="00DCE6F5"/>
      </patternFill>
    </fill>
    <fill>
      <patternFill patternType="solid">
        <fgColor rgb="00FFF3CC"/>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18">
    <xf numFmtId="0" fontId="0" fillId="0" borderId="0" pivotButton="0" quotePrefix="0" xfId="0"/>
    <xf numFmtId="0" fontId="1" fillId="0" borderId="0" pivotButton="0" quotePrefix="0" xfId="0"/>
    <xf numFmtId="9" fontId="0" fillId="0" borderId="0" pivotButton="0" quotePrefix="0" xfId="0"/>
    <xf numFmtId="0" fontId="2" fillId="2" borderId="1" applyAlignment="1" pivotButton="0" quotePrefix="0" xfId="0">
      <alignment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3" fontId="0" fillId="0" borderId="1" pivotButton="0" quotePrefix="0" xfId="0"/>
    <xf numFmtId="0" fontId="0" fillId="0" borderId="3" pivotButton="0" quotePrefix="0" xfId="0"/>
    <xf numFmtId="0" fontId="0" fillId="0" borderId="4" pivotButton="0" quotePrefix="0" xfId="0"/>
    <xf numFmtId="0" fontId="4" fillId="0" borderId="0" applyAlignment="1" pivotButton="0" quotePrefix="0" xfId="0">
      <alignment horizontal="right"/>
    </xf>
    <xf numFmtId="3" fontId="4" fillId="4" borderId="0" pivotButton="0" quotePrefix="0" xfId="0"/>
    <xf numFmtId="0" fontId="4" fillId="0" borderId="0" pivotButton="0" quotePrefix="0" xfId="0"/>
    <xf numFmtId="0" fontId="0" fillId="0" borderId="0" applyAlignment="1" pivotButton="0" quotePrefix="0" xfId="0">
      <alignment vertical="top" wrapText="1"/>
    </xf>
    <xf numFmtId="3" fontId="0" fillId="4" borderId="0" pivotButton="0" quotePrefix="0" xfId="0"/>
    <xf numFmtId="0" fontId="2" fillId="2" borderId="0" applyAlignment="1" pivotButton="0" quotePrefix="0" xfId="0">
      <alignment vertical="top" wrapText="1"/>
    </xf>
    <xf numFmtId="4" fontId="0" fillId="0" borderId="1" applyAlignment="1" pivotButton="0" quotePrefix="0" xfId="0">
      <alignment vertical="top" wrapText="1"/>
    </xf>
    <xf numFmtId="165"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s>
  <sheetData>
    <row r="1">
      <c r="A1" s="1" t="inlineStr">
        <is>
          <t>TICVAI - AWS cloud specs and cost, staged (Stage 1 launch; Stage 2 = the full cell sheets)</t>
        </is>
      </c>
    </row>
    <row r="3">
      <c r="B3" t="inlineStr">
        <is>
          <t>AED per USD</t>
        </is>
      </c>
      <c r="C3" t="n">
        <v>3.6725</v>
      </c>
      <c r="D3" t="inlineStr">
        <is>
          <t>Edit the rate, the margin and any unit price; every total is a formula.</t>
        </is>
      </c>
    </row>
    <row r="4">
      <c r="B4" t="inlineStr">
        <is>
          <t>Margin</t>
        </is>
      </c>
      <c r="C4" s="2" t="n">
        <v>0.2</v>
      </c>
      <c r="D4" t="inlineStr">
        <is>
          <t>Prices: per line, from the AWS Price List API (me-central-1) pulled 4 October 2026; the AWS rates sheet has each rate and its file.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row>
    <row r="7">
      <c r="A7" s="4" t="inlineStr">
        <is>
          <t>Stage 1 production (launch)</t>
        </is>
      </c>
      <c r="B7" s="5" t="inlineStr">
        <is>
          <t>Compute (EKS)</t>
        </is>
      </c>
      <c r="C7" s="5" t="inlineStr">
        <is>
          <t>Amazon EKS</t>
        </is>
      </c>
      <c r="D7" s="5" t="inlineStr">
        <is>
          <t>Control plane</t>
        </is>
      </c>
      <c r="E7" s="5" t="inlineStr">
        <is>
          <t>me-central-1 (UAE)</t>
        </is>
      </c>
      <c r="F7" s="5" t="inlineStr">
        <is>
          <t>$0.10/h. EKS has no free tier (AKS Free at Stage 1 on Azure)</t>
        </is>
      </c>
      <c r="G7" s="5" t="n">
        <v>1</v>
      </c>
      <c r="H7" s="6" t="n">
        <v>73</v>
      </c>
      <c r="I7" s="7">
        <f>G7*H7</f>
        <v/>
      </c>
    </row>
    <row r="8">
      <c r="A8" s="8" t="n"/>
      <c r="B8" s="5" t="inlineStr">
        <is>
          <t>Compute (EKS)</t>
        </is>
      </c>
      <c r="C8" s="5" t="inlineStr">
        <is>
          <t>EC2 (EKS managed node group)</t>
        </is>
      </c>
      <c r="D8" s="5" t="inlineStr">
        <is>
          <t>Two nodes running every deployable, Redis, Qdrant and the broker in-cluster</t>
        </is>
      </c>
      <c r="E8" s="5" t="inlineStr">
        <is>
          <t>me-central-1 (UAE)</t>
        </is>
      </c>
      <c r="F8" s="5" t="inlineStr">
        <is>
          <t>m6i.2xlarge (8 vCPU, 32 GiB), Linux, $0.4708/h, one per AZ. The same images and Helm chart as the cell; one replica per deployable across the two nodes (ADR-0061 as amended 4 October: the floors apply from Stage 2)</t>
        </is>
      </c>
      <c r="G8" s="5" t="n">
        <v>2</v>
      </c>
      <c r="H8" s="6" t="n">
        <v>343.68</v>
      </c>
      <c r="I8" s="7">
        <f>G8*H8</f>
        <v/>
      </c>
    </row>
    <row r="9">
      <c r="A9" s="8" t="n"/>
      <c r="B9" s="5" t="inlineStr">
        <is>
          <t>Compute (EKS)</t>
        </is>
      </c>
      <c r="C9" s="5" t="inlineStr">
        <is>
          <t>EBS (gp3)</t>
        </is>
      </c>
      <c r="D9" s="5" t="inlineStr">
        <is>
          <t>Node root volumes</t>
        </is>
      </c>
      <c r="E9" s="5" t="inlineStr">
        <is>
          <t>me-central-1 (UAE)</t>
        </is>
      </c>
      <c r="F9" s="5" t="inlineStr">
        <is>
          <t>gp3 80 GB per node at $0.0968 per GB-month ($7.74 a node), 3 nodes. The Azure sheets carry no OS-disk line (the two nodes and the GPU node)</t>
        </is>
      </c>
      <c r="G9" s="5" t="n">
        <v>3</v>
      </c>
      <c r="H9" s="6" t="n">
        <v>7.74</v>
      </c>
      <c r="I9" s="7">
        <f>G9*H9</f>
        <v/>
      </c>
    </row>
    <row r="10">
      <c r="A10" s="8" t="n"/>
      <c r="B10" s="5" t="inlineStr">
        <is>
          <t>Vector store</t>
        </is>
      </c>
      <c r="C10" s="5" t="inlineStr">
        <is>
          <t>EBS (gp3)</t>
        </is>
      </c>
      <c r="D10" s="5" t="inlineStr">
        <is>
          <t>Qdrant storage (single in-cluster node)</t>
        </is>
      </c>
      <c r="E10" s="5" t="inlineStr">
        <is>
          <t>me-central-1 (UAE)</t>
        </is>
      </c>
      <c r="F10" s="5" t="inlineStr">
        <is>
          <t>gp3 256 GB</t>
        </is>
      </c>
      <c r="G10" s="5" t="n">
        <v>1</v>
      </c>
      <c r="H10" s="6" t="n">
        <v>24.78</v>
      </c>
      <c r="I10" s="7">
        <f>G10*H10</f>
        <v/>
      </c>
    </row>
    <row r="11">
      <c r="A11" s="8" t="n"/>
      <c r="B11" s="5" t="inlineStr">
        <is>
          <t>Event broker</t>
        </is>
      </c>
      <c r="C11" s="5" t="inlineStr">
        <is>
          <t>EBS (gp3)</t>
        </is>
      </c>
      <c r="D11" s="5" t="inlineStr">
        <is>
          <t>Broker storage (RabbitMQ single in-cluster node)</t>
        </is>
      </c>
      <c r="E11" s="5" t="inlineStr">
        <is>
          <t>me-central-1 (UAE)</t>
        </is>
      </c>
      <c r="F11" s="5" t="inlineStr">
        <is>
          <t>gp3 128 GB</t>
        </is>
      </c>
      <c r="G11" s="5" t="n">
        <v>1</v>
      </c>
      <c r="H11" s="6" t="n">
        <v>12.39</v>
      </c>
      <c r="I11" s="7">
        <f>G11*H11</f>
        <v/>
      </c>
    </row>
    <row r="12">
      <c r="A12" s="8" t="n"/>
      <c r="B12" s="5" t="inlineStr">
        <is>
          <t>Cache</t>
        </is>
      </c>
      <c r="C12" s="5" t="inlineStr">
        <is>
          <t>EBS (gp3)</t>
        </is>
      </c>
      <c r="D12" s="5" t="inlineStr">
        <is>
          <t>Redis persistence (single in-cluster node, append-only file)</t>
        </is>
      </c>
      <c r="E12" s="5" t="inlineStr">
        <is>
          <t>me-central-1 (UAE)</t>
        </is>
      </c>
      <c r="F12" s="5" t="inlineStr">
        <is>
          <t>gp3 128 GB</t>
        </is>
      </c>
      <c r="G12" s="5" t="n">
        <v>1</v>
      </c>
      <c r="H12" s="6" t="n">
        <v>12.39</v>
      </c>
      <c r="I12" s="7">
        <f>G12*H12</f>
        <v/>
      </c>
    </row>
    <row r="13">
      <c r="A13" s="8" t="n"/>
      <c r="B13" s="5" t="inlineStr">
        <is>
          <t>Network</t>
        </is>
      </c>
      <c r="C13" s="5" t="inlineStr">
        <is>
          <t>Elastic Load Balancing (ALB)</t>
        </is>
      </c>
      <c r="D13" s="5" t="inlineStr">
        <is>
          <t>Ingress: an internal ALB, CloudFront's VPC origin</t>
        </is>
      </c>
      <c r="E13" s="5" t="inlineStr">
        <is>
          <t>me-central-1 (UAE)</t>
        </is>
      </c>
      <c r="F13" s="5" t="inlineStr">
        <is>
          <t>$0.028224/h ($20.60) + about 1 LCU on average at $0.00896 per LCU-hour ($6.54, an assumption). AWS Load Balancer Controller on the system node group</t>
        </is>
      </c>
      <c r="G13" s="5" t="n">
        <v>1</v>
      </c>
      <c r="H13" s="6" t="n">
        <v>27.14</v>
      </c>
      <c r="I13" s="7">
        <f>G13*H13</f>
        <v/>
      </c>
    </row>
    <row r="14">
      <c r="A14" s="8" t="n"/>
      <c r="B14" s="5" t="inlineStr">
        <is>
          <t>Network</t>
        </is>
      </c>
      <c r="C14" s="5" t="inlineStr">
        <is>
          <t>NAT Gateway</t>
        </is>
      </c>
      <c r="D14" s="5" t="inlineStr">
        <is>
          <t>One static egress IP for the payment, e-invoicing and messaging allow-lists</t>
        </is>
      </c>
      <c r="E14" s="5" t="inlineStr">
        <is>
          <t>me-central-1 (UAE)</t>
        </is>
      </c>
      <c r="F14" s="5" t="inlineStr">
        <is>
          <t>1 zonal NAT Gateway at $0.0528/h ($38.54) + 1 TB processed at $0.0528/GB ($54.07) + 1 Elastic IP at $0.005/h ($3.65). The nodes stay in private subnets (on Azure the load balancer's outbound rule carries the IP)</t>
        </is>
      </c>
      <c r="G14" s="5" t="n">
        <v>1</v>
      </c>
      <c r="H14" s="6" t="n">
        <v>96.26000000000001</v>
      </c>
      <c r="I14" s="7">
        <f>G14*H14</f>
        <v/>
      </c>
    </row>
    <row r="15">
      <c r="A15" s="8" t="n"/>
      <c r="B15" s="5" t="inlineStr">
        <is>
          <t>Database</t>
        </is>
      </c>
      <c r="C15" s="5" t="inlineStr">
        <is>
          <t>Amazon RDS for PostgreSQL</t>
        </is>
      </c>
      <c r="D15" s="5" t="inlineStr">
        <is>
          <t>Primary with a Multi-AZ standby: control DB + DB per tenant</t>
        </is>
      </c>
      <c r="E15" s="5" t="inlineStr">
        <is>
          <t>me-central-1 (UAE)</t>
        </is>
      </c>
      <c r="F15" s="5" t="inlineStr">
        <is>
          <t>PostgreSQL 16, db.m6g.xlarge Multi-AZ, $0.772/h: ADR-0060 holds at every stage. No read or reporting replica at launch</t>
        </is>
      </c>
      <c r="G15" s="5" t="n">
        <v>1</v>
      </c>
      <c r="H15" s="6" t="n">
        <v>563.5599999999999</v>
      </c>
      <c r="I15" s="7">
        <f>G15*H15</f>
        <v/>
      </c>
    </row>
    <row r="16">
      <c r="A16" s="8" t="n"/>
      <c r="B16" s="5" t="inlineStr">
        <is>
          <t>Database</t>
        </is>
      </c>
      <c r="C16" s="5" t="inlineStr">
        <is>
          <t>Amazon RDS for PostgreSQL</t>
        </is>
      </c>
      <c r="D16" s="5" t="inlineStr">
        <is>
          <t>Storage, primary and standby</t>
        </is>
      </c>
      <c r="E16" s="5" t="inlineStr">
        <is>
          <t>me-central-1 (UAE)</t>
        </is>
      </c>
      <c r="F16" s="5" t="inlineStr">
        <is>
          <t>gp3 256 GB Multi-AZ at $0.279; PITR 35 days</t>
        </is>
      </c>
      <c r="G16" s="5" t="n">
        <v>1</v>
      </c>
      <c r="H16" s="6" t="n">
        <v>71.42</v>
      </c>
      <c r="I16" s="7">
        <f>G16*H16</f>
        <v/>
      </c>
    </row>
    <row r="17">
      <c r="A17" s="8" t="n"/>
      <c r="B17" s="5" t="inlineStr">
        <is>
          <t>AI</t>
        </is>
      </c>
      <c r="C17" s="5" t="inlineStr">
        <is>
          <t>EC2 (EKS managed node group)</t>
        </is>
      </c>
      <c r="D17" s="5" t="inlineStr">
        <is>
          <t>AI GPU node: ticvai-ai, Presidio, the Arabic NER, BGE-M3 and its reranker (CHG-R11-001)</t>
        </is>
      </c>
      <c r="E17" s="5" t="inlineStr">
        <is>
          <t>me-central-1 (UAE)</t>
        </is>
      </c>
      <c r="F17"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the AI log tables live in the main PostgreSQL at launch</t>
        </is>
      </c>
      <c r="G17" s="5" t="n">
        <v>1</v>
      </c>
      <c r="H17" s="6" t="n">
        <v>876.3099999999999</v>
      </c>
      <c r="I17" s="7">
        <f>G17*H17</f>
        <v/>
      </c>
    </row>
    <row r="18">
      <c r="A18" s="8" t="n"/>
      <c r="B18" s="5" t="inlineStr">
        <is>
          <t>Storage</t>
        </is>
      </c>
      <c r="C18" s="5" t="inlineStr">
        <is>
          <t>Amazon S3</t>
        </is>
      </c>
      <c r="D18" s="5" t="inlineStr">
        <is>
          <t>Media (including venue 3D models), exports, snapshots, dumps</t>
        </is>
      </c>
      <c r="E18" s="5" t="inlineStr">
        <is>
          <t>me-central-1 (UAE)</t>
        </is>
      </c>
      <c r="F18" s="5" t="inlineStr">
        <is>
          <t>S3 Standard, 2,048 GB, me-central-1 only</t>
        </is>
      </c>
      <c r="G18" s="5" t="n">
        <v>1</v>
      </c>
      <c r="H18" s="6" t="n">
        <v>51.2</v>
      </c>
      <c r="I18" s="7">
        <f>G18*H18</f>
        <v/>
      </c>
    </row>
    <row r="19">
      <c r="A19" s="8" t="n"/>
      <c r="B19" s="5" t="inlineStr">
        <is>
          <t>Storage</t>
        </is>
      </c>
      <c r="C19" s="5" t="inlineStr">
        <is>
          <t>Amazon ECR</t>
        </is>
      </c>
      <c r="D19" s="5" t="inlineStr">
        <is>
          <t>Images for the five deployables</t>
        </is>
      </c>
      <c r="E19" s="5" t="inlineStr">
        <is>
          <t>me-central-1 (UAE)</t>
        </is>
      </c>
      <c r="F19" s="5" t="inlineStr">
        <is>
          <t>About 100 GB</t>
        </is>
      </c>
      <c r="G19" s="5" t="n">
        <v>1</v>
      </c>
      <c r="H19" s="6" t="n">
        <v>10</v>
      </c>
      <c r="I19" s="7">
        <f>G19*H19</f>
        <v/>
      </c>
    </row>
    <row r="20">
      <c r="A20" s="8" t="n"/>
      <c r="B20" s="5" t="inlineStr">
        <is>
          <t>Security</t>
        </is>
      </c>
      <c r="C20" s="5" t="inlineStr">
        <is>
          <t>AWS Secrets Manager</t>
        </is>
      </c>
      <c r="D20" s="5" t="inlineStr">
        <is>
          <t>Secrets</t>
        </is>
      </c>
      <c r="E20" s="5" t="inlineStr">
        <is>
          <t>me-central-1 (UAE)</t>
        </is>
      </c>
      <c r="F20" s="5" t="inlineStr">
        <is>
          <t>About 20 secrets at $0.40</t>
        </is>
      </c>
      <c r="G20" s="5" t="n">
        <v>20</v>
      </c>
      <c r="H20" s="6" t="n">
        <v>0.4</v>
      </c>
      <c r="I20" s="7">
        <f>G20*H20</f>
        <v/>
      </c>
    </row>
    <row r="21">
      <c r="A21" s="8" t="n"/>
      <c r="B21" s="5" t="inlineStr">
        <is>
          <t>Security</t>
        </is>
      </c>
      <c r="C21" s="5" t="inlineStr">
        <is>
          <t>AWS KMS</t>
        </is>
      </c>
      <c r="D21" s="5" t="inlineStr">
        <is>
          <t>Platform and per-tenant keys</t>
        </is>
      </c>
      <c r="E21" s="5" t="inlineStr">
        <is>
          <t>me-central-1 (UAE)</t>
        </is>
      </c>
      <c r="F21" s="5" t="inlineStr">
        <is>
          <t>5 customer managed keys at $1</t>
        </is>
      </c>
      <c r="G21" s="5" t="n">
        <v>5</v>
      </c>
      <c r="H21" s="6" t="n">
        <v>1</v>
      </c>
      <c r="I21" s="7">
        <f>G21*H21</f>
        <v/>
      </c>
    </row>
    <row r="22">
      <c r="A22" s="8" t="n"/>
      <c r="B22" s="5" t="inlineStr">
        <is>
          <t>Network</t>
        </is>
      </c>
      <c r="C22" s="5" t="inlineStr">
        <is>
          <t>Amazon CloudFront</t>
        </is>
      </c>
      <c r="D22" s="5" t="inlineStr">
        <is>
          <t>TLS entry for web, apps and APIs, sized for launch</t>
        </is>
      </c>
      <c r="E22" s="5" t="inlineStr">
        <is>
          <t>Global (edge)</t>
        </is>
      </c>
      <c r="F22" s="5" t="inlineStr">
        <is>
          <t>500 GB to viewers in the Middle East at $0.110/GB ($55.00) + about 10 million HTTPS requests at $0.0120 per 10,000 ($12.00). Origin fetches from the ALB are free; a VPC origin keeps the ALB private (no charge line in the price list, to confirm)</t>
        </is>
      </c>
      <c r="G22" s="5" t="n">
        <v>1</v>
      </c>
      <c r="H22" s="6" t="n">
        <v>67</v>
      </c>
      <c r="I22" s="7">
        <f>G22*H22</f>
        <v/>
      </c>
    </row>
    <row r="23">
      <c r="A23" s="8" t="n"/>
      <c r="B23" s="5" t="inlineStr">
        <is>
          <t>Network</t>
        </is>
      </c>
      <c r="C23" s="5" t="inlineStr">
        <is>
          <t>AWS WAF</t>
        </is>
      </c>
      <c r="D23" s="5" t="inlineStr">
        <is>
          <t>WAF on CloudFront, sized for launch: core rule set and rate rules; no Bot Control</t>
        </is>
      </c>
      <c r="E23" s="5" t="inlineStr">
        <is>
          <t>Global (edge)</t>
        </is>
      </c>
      <c r="F23" s="5" t="inlineStr">
        <is>
          <t>Web ACL $5 + about 5 rules and managed rule groups (AWS managed core rule set for OWASP, rate-based rules per client IP) at $1 ($5.00) + 10 million requests at $0.60 per million ($6.00). A CloudFront web ACL is global: the me-central-1 rates, to confirm on the bill</t>
        </is>
      </c>
      <c r="G23" s="5" t="n">
        <v>1</v>
      </c>
      <c r="H23" s="6" t="n">
        <v>16</v>
      </c>
      <c r="I23" s="7">
        <f>G23*H23</f>
        <v/>
      </c>
    </row>
    <row r="24">
      <c r="A24" s="8" t="n"/>
      <c r="B24" s="5" t="inlineStr">
        <is>
          <t>Network</t>
        </is>
      </c>
      <c r="C24" s="5" t="inlineStr">
        <is>
          <t>Data transfer out</t>
        </is>
      </c>
      <c r="D24" s="5" t="inlineStr">
        <is>
          <t>Egress to the providers</t>
        </is>
      </c>
      <c r="E24" s="5" t="inlineStr">
        <is>
          <t>me-central-1 (UAE)</t>
        </is>
      </c>
      <c r="F24" s="5" t="inlineStr">
        <is>
          <t>About 200 GB a month: the first 100 GB free, then $0.117/GB ($11.70). The ALB-to-CloudFront traffic is free; the web traffic is in the CloudFront line</t>
        </is>
      </c>
      <c r="G24" s="5" t="n">
        <v>1</v>
      </c>
      <c r="H24" s="6" t="n">
        <v>11.7</v>
      </c>
      <c r="I24" s="7">
        <f>G24*H24</f>
        <v/>
      </c>
    </row>
    <row r="25">
      <c r="A25" s="8" t="n"/>
      <c r="B25" s="5" t="inlineStr">
        <is>
          <t>Operations</t>
        </is>
      </c>
      <c r="C25" s="5" t="inlineStr">
        <is>
          <t>Amazon CloudWatch</t>
        </is>
      </c>
      <c r="D25" s="5" t="inlineStr">
        <is>
          <t>Logs, metrics, alerts at launch volume</t>
        </is>
      </c>
      <c r="E25" s="5" t="inlineStr">
        <is>
          <t>me-central-1 (UAE)</t>
        </is>
      </c>
      <c r="F25" s="5" t="inlineStr">
        <is>
          <t>About 20 GB of logs ingested at $0.63/GB ($12.60), stored at $0.033 per GB-month ($0.66 in the first month, growing with retention), about 100 custom metrics at $0.30 ($30.00)</t>
        </is>
      </c>
      <c r="G25" s="5" t="n">
        <v>1</v>
      </c>
      <c r="H25" s="6" t="n">
        <v>43.26</v>
      </c>
      <c r="I25" s="7">
        <f>G25*H25</f>
        <v/>
      </c>
    </row>
    <row r="26">
      <c r="A26" s="9" t="n"/>
      <c r="B26" s="5" t="inlineStr">
        <is>
          <t>AI (usage)</t>
        </is>
      </c>
      <c r="C26" s="5" t="inlineStr">
        <is>
          <t>LLM providers</t>
        </is>
      </c>
      <c r="D26" s="5" t="inlineStr">
        <is>
          <t>Language model calls (re-billed per token, AI-D02)</t>
        </is>
      </c>
      <c r="E26" s="5" t="inlineStr">
        <is>
          <t>me-central-1 (UAE)</t>
        </is>
      </c>
      <c r="F26" s="5" t="inlineStr">
        <is>
          <t>Usage-based</t>
        </is>
      </c>
      <c r="G26" s="5" t="n">
        <v>1</v>
      </c>
      <c r="H26" s="6" t="n">
        <v>0</v>
      </c>
      <c r="I26" s="7">
        <f>G26*H26</f>
        <v/>
      </c>
    </row>
    <row r="27">
      <c r="F27" s="10" t="inlineStr">
        <is>
          <t>USD - Total cost per month</t>
        </is>
      </c>
      <c r="I27" s="11">
        <f>SUM(I7:I26)</f>
        <v/>
      </c>
    </row>
    <row r="28">
      <c r="F28" s="10" t="inlineStr">
        <is>
          <t>AED - Total cost per month</t>
        </is>
      </c>
      <c r="I28" s="11">
        <f>I27*$C$3</f>
        <v/>
      </c>
    </row>
    <row r="29">
      <c r="F29" s="10" t="inlineStr">
        <is>
          <t>AED - Total cost per year</t>
        </is>
      </c>
      <c r="I29" s="11">
        <f>I28*12</f>
        <v/>
      </c>
    </row>
    <row r="30">
      <c r="F30" s="10" t="inlineStr">
        <is>
          <t>AED - Total price per year with margin</t>
        </is>
      </c>
      <c r="I30" s="11">
        <f>I29*(1+$C$4)</f>
        <v/>
      </c>
    </row>
    <row r="32">
      <c r="B32" s="12" t="inlineStr">
        <is>
          <t>Notes - Stage 1 production (launch)</t>
        </is>
      </c>
    </row>
    <row r="33" ht="32" customHeight="1">
      <c r="B33" s="13" t="inlineStr">
        <is>
          <t>Staged as on Azure (Chinmay, 4 October 2026, CHG-R11-003): launch on Stage 1, move to Stage 2 (the full cell on the other two sheets) on the same triggers as the Azure Stages sheet: a paying venue needing ADR-0060's targets, traffic beyond Stage 1 sustained, a large on-sale booked, or a client needing Bot Control or a private origin.</t>
        </is>
      </c>
    </row>
    <row r="34" ht="32" customHeight="1">
      <c r="B34" s="13" t="inlineStr">
        <is>
          <t>Stage 1 on AWS differs from Azure's in three lines: the EKS control plane ($73; AKS Free on Azure), a NAT Gateway for the static egress IP (on Azure the load balancer's outbound rule carries it), and the GPU node (g6.2xlarge, a whole L4). WAF on CloudFront carries AWS's managed core rule set even at launch; Bot Control waits for Stage 2.</t>
        </is>
      </c>
    </row>
    <row r="35" ht="32" customHeight="1">
      <c r="B35" s="13" t="inlineStr">
        <is>
          <t>Not included at Stage 1: GuardDuty, Inspector, Security Hub, VPC interface endpoints, ElastiCache, the AI log instance, read and reporting replicas: each comes with Stage 2. Session Manager has no charge line.</t>
        </is>
      </c>
    </row>
    <row r="36" ht="32" customHeight="1">
      <c r="B36" s="13" t="inlineStr">
        <is>
          <t>Stage 0 is a reference line only (one m6i.4xlarge and the GPU node): it is not the plan. The 25 September AWS board's $716 for it included more than the instance.</t>
        </is>
      </c>
    </row>
    <row r="39">
      <c r="A39" s="3" t="inlineStr">
        <is>
          <t>Environment</t>
        </is>
      </c>
      <c r="B39" s="3" t="inlineStr">
        <is>
          <t>Group</t>
        </is>
      </c>
      <c r="C39" s="3" t="inlineStr">
        <is>
          <t>AWS service type</t>
        </is>
      </c>
      <c r="D39" s="3" t="inlineStr">
        <is>
          <t>Service description</t>
        </is>
      </c>
      <c r="E39" s="3" t="inlineStr">
        <is>
          <t>Region</t>
        </is>
      </c>
      <c r="F39" s="3" t="inlineStr">
        <is>
          <t>Specs description</t>
        </is>
      </c>
      <c r="G39" s="3" t="inlineStr">
        <is>
          <t>Qty</t>
        </is>
      </c>
      <c r="H39" s="3" t="inlineStr">
        <is>
          <t>Unit price (USD / month)</t>
        </is>
      </c>
      <c r="I39" s="3" t="inlineStr">
        <is>
          <t>Estimated monthly cost (USD)</t>
        </is>
      </c>
    </row>
    <row r="40">
      <c r="A40" s="4" t="inlineStr">
        <is>
          <t>Stage 1 pre-production</t>
        </is>
      </c>
      <c r="B40" s="5" t="inlineStr">
        <is>
          <t>Compute (EKS)</t>
        </is>
      </c>
      <c r="C40" s="5" t="inlineStr">
        <is>
          <t>Amazon EKS</t>
        </is>
      </c>
      <c r="D40" s="5" t="inlineStr">
        <is>
          <t>Control plane</t>
        </is>
      </c>
      <c r="E40" s="5" t="inlineStr">
        <is>
          <t>me-central-1 (UAE)</t>
        </is>
      </c>
      <c r="F40" s="5" t="inlineStr">
        <is>
          <t>$0.10/h, a cluster of its own (a namespace on the Stage 1 cluster would save it)</t>
        </is>
      </c>
      <c r="G40" s="5" t="n">
        <v>1</v>
      </c>
      <c r="H40" s="6" t="n">
        <v>73</v>
      </c>
      <c r="I40" s="7">
        <f>G40*H40</f>
        <v/>
      </c>
    </row>
    <row r="41">
      <c r="A41" s="8" t="n"/>
      <c r="B41" s="5" t="inlineStr">
        <is>
          <t>Compute (EKS)</t>
        </is>
      </c>
      <c r="C41" s="5" t="inlineStr">
        <is>
          <t>EC2 (EKS managed node group)</t>
        </is>
      </c>
      <c r="D41" s="5" t="inlineStr">
        <is>
          <t>One node: every deployable, Redis, Qdrant and the broker</t>
        </is>
      </c>
      <c r="E41" s="5" t="inlineStr">
        <is>
          <t>me-central-1 (UAE)</t>
        </is>
      </c>
      <c r="F41" s="5" t="inlineStr">
        <is>
          <t>m6i.2xlarge (8 vCPU, 32 GiB), one replica each. No GPU node: the models run on its CPU at test volume (an assumption to confirm in Sprint 2)</t>
        </is>
      </c>
      <c r="G41" s="5" t="n">
        <v>1</v>
      </c>
      <c r="H41" s="6" t="n">
        <v>343.68</v>
      </c>
      <c r="I41" s="7">
        <f>G41*H41</f>
        <v/>
      </c>
    </row>
    <row r="42">
      <c r="A42" s="8" t="n"/>
      <c r="B42" s="5" t="inlineStr">
        <is>
          <t>Compute (EKS)</t>
        </is>
      </c>
      <c r="C42" s="5" t="inlineStr">
        <is>
          <t>EBS (gp3)</t>
        </is>
      </c>
      <c r="D42" s="5" t="inlineStr">
        <is>
          <t>Node root volume</t>
        </is>
      </c>
      <c r="E42" s="5" t="inlineStr">
        <is>
          <t>me-central-1 (UAE)</t>
        </is>
      </c>
      <c r="F42" s="5" t="inlineStr">
        <is>
          <t>gp3 80 GB per node at $0.0968 per GB-month ($7.74 a node), 1 nodes. The Azure sheets carry no OS-disk line</t>
        </is>
      </c>
      <c r="G42" s="5" t="n">
        <v>1</v>
      </c>
      <c r="H42" s="6" t="n">
        <v>7.74</v>
      </c>
      <c r="I42" s="7">
        <f>G42*H42</f>
        <v/>
      </c>
    </row>
    <row r="43">
      <c r="A43" s="8" t="n"/>
      <c r="B43" s="5" t="inlineStr">
        <is>
          <t>Database</t>
        </is>
      </c>
      <c r="C43" s="5" t="inlineStr">
        <is>
          <t>Amazon RDS for PostgreSQL</t>
        </is>
      </c>
      <c r="D43" s="5" t="inlineStr">
        <is>
          <t>Control DB + test tenant DBs</t>
        </is>
      </c>
      <c r="E43" s="5" t="inlineStr">
        <is>
          <t>me-central-1 (UAE)</t>
        </is>
      </c>
      <c r="F43" s="5" t="inlineStr">
        <is>
          <t>db.m6g.large single-AZ + gp3 256 GB, no standby (pre-production only)</t>
        </is>
      </c>
      <c r="G43" s="5" t="n">
        <v>1</v>
      </c>
      <c r="H43" s="6" t="n">
        <v>176.73</v>
      </c>
      <c r="I43" s="7">
        <f>G43*H43</f>
        <v/>
      </c>
    </row>
    <row r="44">
      <c r="A44" s="8" t="n"/>
      <c r="B44" s="5" t="inlineStr">
        <is>
          <t>Storage</t>
        </is>
      </c>
      <c r="C44" s="5" t="inlineStr">
        <is>
          <t>Amazon S3</t>
        </is>
      </c>
      <c r="D44" s="5" t="inlineStr">
        <is>
          <t>Test media and snapshots</t>
        </is>
      </c>
      <c r="E44" s="5" t="inlineStr">
        <is>
          <t>me-central-1 (UAE)</t>
        </is>
      </c>
      <c r="F44" s="5" t="inlineStr">
        <is>
          <t>S3 Standard, 500 GB</t>
        </is>
      </c>
      <c r="G44" s="5" t="n">
        <v>1</v>
      </c>
      <c r="H44" s="6" t="n">
        <v>12.5</v>
      </c>
      <c r="I44" s="7">
        <f>G44*H44</f>
        <v/>
      </c>
    </row>
    <row r="45">
      <c r="A45" s="8" t="n"/>
      <c r="B45" s="5" t="inlineStr">
        <is>
          <t>Security</t>
        </is>
      </c>
      <c r="C45" s="5" t="inlineStr">
        <is>
          <t>AWS Secrets Manager</t>
        </is>
      </c>
      <c r="D45" s="5" t="inlineStr">
        <is>
          <t>Test secrets</t>
        </is>
      </c>
      <c r="E45" s="5" t="inlineStr">
        <is>
          <t>me-central-1 (UAE)</t>
        </is>
      </c>
      <c r="F45" s="5" t="inlineStr">
        <is>
          <t>About 5 secrets at $0.40</t>
        </is>
      </c>
      <c r="G45" s="5" t="n">
        <v>5</v>
      </c>
      <c r="H45" s="6" t="n">
        <v>0.4</v>
      </c>
      <c r="I45" s="7">
        <f>G45*H45</f>
        <v/>
      </c>
    </row>
    <row r="46">
      <c r="A46" s="9" t="n"/>
      <c r="B46" s="5" t="inlineStr">
        <is>
          <t>Network</t>
        </is>
      </c>
      <c r="C46" s="5" t="inlineStr">
        <is>
          <t>CloudFront, WAF, ALB, NAT, ECR, CloudWatch</t>
        </is>
      </c>
      <c r="D46" s="5" t="inlineStr">
        <is>
          <t>Shared with Stage 1 production</t>
        </is>
      </c>
      <c r="E46" s="5" t="inlineStr">
        <is>
          <t>me-central-1 (UAE)</t>
        </is>
      </c>
      <c r="F46" s="5" t="inlineStr">
        <is>
          <t>Separate behaviours and web ACL rules</t>
        </is>
      </c>
      <c r="G46" s="5" t="n">
        <v>1</v>
      </c>
      <c r="H46" s="6" t="n">
        <v>0</v>
      </c>
      <c r="I46" s="7">
        <f>G46*H46</f>
        <v/>
      </c>
    </row>
    <row r="47">
      <c r="F47" s="10" t="inlineStr">
        <is>
          <t>USD - Total cost per month</t>
        </is>
      </c>
      <c r="I47" s="11">
        <f>SUM(I40:I46)</f>
        <v/>
      </c>
    </row>
    <row r="48">
      <c r="F48" s="10" t="inlineStr">
        <is>
          <t>AED - Total cost per month</t>
        </is>
      </c>
      <c r="I48" s="11">
        <f>I47*$C$3</f>
        <v/>
      </c>
    </row>
    <row r="49">
      <c r="F49" s="10" t="inlineStr">
        <is>
          <t>AED - Total cost per year</t>
        </is>
      </c>
      <c r="I49" s="11">
        <f>I48*12</f>
        <v/>
      </c>
    </row>
    <row r="50">
      <c r="F50" s="10" t="inlineStr">
        <is>
          <t>AED - Total price per year with margin</t>
        </is>
      </c>
      <c r="I50" s="11">
        <f>I49*(1+$C$4)</f>
        <v/>
      </c>
    </row>
    <row r="52">
      <c r="B52" s="12" t="inlineStr">
        <is>
          <t>Notes - Stage 1 pre-production</t>
        </is>
      </c>
    </row>
    <row r="55">
      <c r="A55" s="3" t="inlineStr">
        <is>
          <t>Environment</t>
        </is>
      </c>
      <c r="B55" s="3" t="inlineStr">
        <is>
          <t>Group</t>
        </is>
      </c>
      <c r="C55" s="3" t="inlineStr">
        <is>
          <t>AWS service type</t>
        </is>
      </c>
      <c r="D55" s="3" t="inlineStr">
        <is>
          <t>Service description</t>
        </is>
      </c>
      <c r="E55" s="3" t="inlineStr">
        <is>
          <t>Region</t>
        </is>
      </c>
      <c r="F55" s="3" t="inlineStr">
        <is>
          <t>Specs description</t>
        </is>
      </c>
      <c r="G55" s="3" t="inlineStr">
        <is>
          <t>Qty</t>
        </is>
      </c>
      <c r="H55" s="3" t="inlineStr">
        <is>
          <t>Unit price (USD / month)</t>
        </is>
      </c>
      <c r="I55" s="3" t="inlineStr">
        <is>
          <t>Estimated monthly cost (USD)</t>
        </is>
      </c>
    </row>
    <row r="56">
      <c r="A56" s="4" t="inlineStr">
        <is>
          <t>Stage 0 (reference only)</t>
        </is>
      </c>
      <c r="B56" s="5" t="inlineStr">
        <is>
          <t>Compute</t>
        </is>
      </c>
      <c r="C56" s="5" t="inlineStr">
        <is>
          <t>EC2</t>
        </is>
      </c>
      <c r="D56" s="5" t="inlineStr">
        <is>
          <t>One server running everything (reference only, not the plan)</t>
        </is>
      </c>
      <c r="E56" s="5" t="inlineStr">
        <is>
          <t>me-central-1 (UAE)</t>
        </is>
      </c>
      <c r="F56" s="5" t="inlineStr">
        <is>
          <t>m6i.4xlarge (16 vCPU, 64 GiB), Linux, $0.9416/h. No AZ redundancy anywhere</t>
        </is>
      </c>
      <c r="G56" s="5" t="n">
        <v>1</v>
      </c>
      <c r="H56" s="6" t="n">
        <v>687.37</v>
      </c>
      <c r="I56" s="7">
        <f>G56*H56</f>
        <v/>
      </c>
    </row>
    <row r="57">
      <c r="A57" s="9" t="n"/>
      <c r="B57" s="5" t="inlineStr">
        <is>
          <t>AI</t>
        </is>
      </c>
      <c r="C57" s="5" t="inlineStr">
        <is>
          <t>EC2</t>
        </is>
      </c>
      <c r="D57" s="5" t="inlineStr">
        <is>
          <t>AI GPU node</t>
        </is>
      </c>
      <c r="E57" s="5" t="inlineStr">
        <is>
          <t>me-central-1 (UAE)</t>
        </is>
      </c>
      <c r="F57" s="5" t="inlineStr">
        <is>
          <t>g6.2xlarge, $1.20043/h</t>
        </is>
      </c>
      <c r="G57" s="5" t="n">
        <v>1</v>
      </c>
      <c r="H57" s="6" t="n">
        <v>876.3099999999999</v>
      </c>
      <c r="I57" s="7">
        <f>G57*H57</f>
        <v/>
      </c>
    </row>
    <row r="58">
      <c r="F58" s="10" t="inlineStr">
        <is>
          <t>USD - Total cost per month</t>
        </is>
      </c>
      <c r="I58" s="11">
        <f>SUM(I56:I57)</f>
        <v/>
      </c>
    </row>
    <row r="59">
      <c r="F59" s="10" t="inlineStr">
        <is>
          <t>AED - Total cost per month</t>
        </is>
      </c>
      <c r="I59" s="11">
        <f>I58*$C$3</f>
        <v/>
      </c>
    </row>
    <row r="60">
      <c r="F60" s="10" t="inlineStr">
        <is>
          <t>AED - Total cost per year</t>
        </is>
      </c>
      <c r="I60" s="11">
        <f>I59*12</f>
        <v/>
      </c>
    </row>
    <row r="61">
      <c r="F61" s="10" t="inlineStr">
        <is>
          <t>AED - Total price per year with margin</t>
        </is>
      </c>
      <c r="I61" s="11">
        <f>I60*(1+$C$4)</f>
        <v/>
      </c>
    </row>
    <row r="63">
      <c r="B63" s="12" t="inlineStr">
        <is>
          <t>Notes - Stage 0 (reference only)</t>
        </is>
      </c>
    </row>
  </sheetData>
  <mergeCells count="7">
    <mergeCell ref="A7:A26"/>
    <mergeCell ref="B33:I33"/>
    <mergeCell ref="A56:A57"/>
    <mergeCell ref="B34:I34"/>
    <mergeCell ref="B36:I36"/>
    <mergeCell ref="A40:A46"/>
    <mergeCell ref="B35:I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5"/>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 width="18" customWidth="1" min="10" max="10"/>
  </cols>
  <sheetData>
    <row r="1">
      <c r="A1" s="1" t="inlineStr">
        <is>
          <t>TICVAI - AWS cloud specs and cost (infra without ha)</t>
        </is>
      </c>
    </row>
    <row r="3">
      <c r="B3" t="inlineStr">
        <is>
          <t>AED per USD</t>
        </is>
      </c>
      <c r="C3" t="n">
        <v>3.6725</v>
      </c>
      <c r="D3" t="inlineStr">
        <is>
          <t>Edit the rate, the margin and any unit price; every total is a formula.</t>
        </is>
      </c>
    </row>
    <row r="4">
      <c r="B4" t="inlineStr">
        <is>
          <t>Margin</t>
        </is>
      </c>
      <c r="C4" s="2" t="n">
        <v>0.2</v>
      </c>
      <c r="D4"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c r="J6" s="3" t="inlineStr">
        <is>
          <t>When solution is scaled up (USD)</t>
        </is>
      </c>
    </row>
    <row r="7">
      <c r="A7" s="4" t="inlineStr">
        <is>
          <t>Production</t>
        </is>
      </c>
      <c r="B7" s="5" t="inlineStr">
        <is>
          <t>Compute (EKS)</t>
        </is>
      </c>
      <c r="C7" s="5" t="inlineStr">
        <is>
          <t>Amazon EKS</t>
        </is>
      </c>
      <c r="D7" s="5" t="inlineStr">
        <is>
          <t>Control plane, standard support</t>
        </is>
      </c>
      <c r="E7" s="5" t="inlineStr">
        <is>
          <t>me-central-1 (UAE)</t>
        </is>
      </c>
      <c r="F7" s="5" t="inlineStr">
        <is>
          <t>$0.10/h; uptime SLA included</t>
        </is>
      </c>
      <c r="G7" s="5" t="n">
        <v>1</v>
      </c>
      <c r="H7" s="6" t="n">
        <v>73</v>
      </c>
      <c r="I7" s="7">
        <f>G7*H7</f>
        <v/>
      </c>
      <c r="J7" s="7">
        <f>I7</f>
        <v/>
      </c>
    </row>
    <row r="8">
      <c r="A8" s="8" t="n"/>
      <c r="B8" s="5" t="inlineStr">
        <is>
          <t>Compute (EKS)</t>
        </is>
      </c>
      <c r="C8" s="5" t="inlineStr">
        <is>
          <t>EC2 (EKS managed node group)</t>
        </is>
      </c>
      <c r="D8" s="5" t="inlineStr">
        <is>
          <t>System node group (and the ingress controller pods)</t>
        </is>
      </c>
      <c r="E8" s="5" t="inlineStr">
        <is>
          <t>me-central-1 (UAE)</t>
        </is>
      </c>
      <c r="F8" s="5" t="inlineStr">
        <is>
          <t>m6i.xlarge (4 vCPU, 16 GiB), Linux, one AZ</t>
        </is>
      </c>
      <c r="G8" s="5" t="n">
        <v>2</v>
      </c>
      <c r="H8" s="6" t="n">
        <v>171.84</v>
      </c>
      <c r="I8" s="7">
        <f>G8*H8</f>
        <v/>
      </c>
      <c r="J8" s="7">
        <f>I8</f>
        <v/>
      </c>
    </row>
    <row r="9">
      <c r="A9" s="8" t="n"/>
      <c r="B9" s="5" t="inlineStr">
        <is>
          <t>Compute (EKS)</t>
        </is>
      </c>
      <c r="C9" s="5" t="inlineStr">
        <is>
          <t>EC2 (EKS managed node group)</t>
        </is>
      </c>
      <c r="D9" s="5" t="inlineStr">
        <is>
          <t>Workload node group: commerce, access, operations, workers</t>
        </is>
      </c>
      <c r="E9" s="5" t="inlineStr">
        <is>
          <t>me-central-1 (UAE)</t>
        </is>
      </c>
      <c r="F9" s="5" t="inlineStr">
        <is>
          <t>m6i.2xlarge (8 vCPU, 32 GiB), autoscale 2-10. Carries the floors (ADR-0061): 9 replicas on 2 nodes; in one AZ commerce's three replicas cannot be one per AZ</t>
        </is>
      </c>
      <c r="G9" s="5" t="n">
        <v>2</v>
      </c>
      <c r="H9" s="6" t="n">
        <v>343.68</v>
      </c>
      <c r="I9" s="7">
        <f>G9*H9</f>
        <v/>
      </c>
      <c r="J9" s="7">
        <f>4*H9</f>
        <v/>
      </c>
    </row>
    <row r="10">
      <c r="A10" s="8" t="n"/>
      <c r="B10" s="5" t="inlineStr">
        <is>
          <t>Compute (EKS)</t>
        </is>
      </c>
      <c r="C10" s="5" t="inlineStr">
        <is>
          <t>EC2 (EKS managed node group)</t>
        </is>
      </c>
      <c r="D10" s="5" t="inlineStr">
        <is>
          <t>AI GPU node group: ticvai-ai, BGE-M3 and its reranker, Presidio and the Arabic NER (CHG-R11-001)</t>
        </is>
      </c>
      <c r="E10" s="5" t="inlineStr">
        <is>
          <t>me-central-1 (UAE)</t>
        </is>
      </c>
      <c r="F10"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With it down the scrubber is down and LLM calls are refused (503 scrubber-unavailable), never sent raw</t>
        </is>
      </c>
      <c r="G10" s="5" t="n">
        <v>1</v>
      </c>
      <c r="H10" s="6" t="n">
        <v>876.3099999999999</v>
      </c>
      <c r="I10" s="7">
        <f>G10*H10</f>
        <v/>
      </c>
      <c r="J10" s="7">
        <f>2*H10</f>
        <v/>
      </c>
    </row>
    <row r="11">
      <c r="A11" s="8" t="n"/>
      <c r="B11" s="5" t="inlineStr">
        <is>
          <t>Compute (EKS)</t>
        </is>
      </c>
      <c r="C11" s="5" t="inlineStr">
        <is>
          <t>EBS (gp3)</t>
        </is>
      </c>
      <c r="D11" s="5" t="inlineStr">
        <is>
          <t>Node root volumes</t>
        </is>
      </c>
      <c r="E11" s="5" t="inlineStr">
        <is>
          <t>me-central-1 (UAE)</t>
        </is>
      </c>
      <c r="F11" s="5" t="inlineStr">
        <is>
          <t>gp3 80 GB per node at $0.0968 per GB-month ($7.74 a node), 7 nodes. The Azure sheets carry no OS-disk line (2 system, 2 workload, 1 GPU, 1 qdrant, 1 broker; 10 scaled up)</t>
        </is>
      </c>
      <c r="G11" s="5" t="n">
        <v>7</v>
      </c>
      <c r="H11" s="6" t="n">
        <v>7.74</v>
      </c>
      <c r="I11" s="7">
        <f>G11*H11</f>
        <v/>
      </c>
      <c r="J11" s="7">
        <f>10*H11</f>
        <v/>
      </c>
    </row>
    <row r="12">
      <c r="A12" s="8" t="n"/>
      <c r="B12" s="5" t="inlineStr">
        <is>
          <t>Vector store</t>
        </is>
      </c>
      <c r="C12" s="5" t="inlineStr">
        <is>
          <t>EC2 (EKS managed node group)</t>
        </is>
      </c>
      <c r="D12" s="5" t="inlineStr">
        <is>
          <t>Qdrant, one collection per tenant (ADR-0049)</t>
        </is>
      </c>
      <c r="E12" s="5" t="inlineStr">
        <is>
          <t>me-central-1 (UAE)</t>
        </is>
      </c>
      <c r="F12" s="5" t="inlineStr">
        <is>
          <t>r6i.xlarge (4 vCPU, 32 GiB), single node</t>
        </is>
      </c>
      <c r="G12" s="5" t="n">
        <v>1</v>
      </c>
      <c r="H12" s="6" t="n">
        <v>226.45</v>
      </c>
      <c r="I12" s="7">
        <f>G12*H12</f>
        <v/>
      </c>
      <c r="J12" s="7">
        <f>I12</f>
        <v/>
      </c>
    </row>
    <row r="13">
      <c r="A13" s="8" t="n"/>
      <c r="B13" s="5" t="inlineStr">
        <is>
          <t>Vector store</t>
        </is>
      </c>
      <c r="C13" s="5" t="inlineStr">
        <is>
          <t>EBS (gp3)</t>
        </is>
      </c>
      <c r="D13" s="5" t="inlineStr">
        <is>
          <t>Qdrant storage</t>
        </is>
      </c>
      <c r="E13" s="5" t="inlineStr">
        <is>
          <t>me-central-1 (UAE)</t>
        </is>
      </c>
      <c r="F13" s="5" t="inlineStr">
        <is>
          <t>gp3 256 GB</t>
        </is>
      </c>
      <c r="G13" s="5" t="n">
        <v>1</v>
      </c>
      <c r="H13" s="6" t="n">
        <v>24.78</v>
      </c>
      <c r="I13" s="7">
        <f>G13*H13</f>
        <v/>
      </c>
      <c r="J13" s="7">
        <f>I13</f>
        <v/>
      </c>
    </row>
    <row r="14">
      <c r="A14" s="8" t="n"/>
      <c r="B14" s="5" t="inlineStr">
        <is>
          <t>Event broker</t>
        </is>
      </c>
      <c r="C14" s="5" t="inlineStr">
        <is>
          <t>EC2 (EKS managed node group)</t>
        </is>
      </c>
      <c r="D14" s="5" t="inlineStr">
        <is>
          <t>Broker: RabbitMQ recommended, or Kafka (the client's choice; ADR-0057, proposed)</t>
        </is>
      </c>
      <c r="E14" s="5" t="inlineStr">
        <is>
          <t>me-central-1 (UAE)</t>
        </is>
      </c>
      <c r="F14" s="5" t="inlineStr">
        <is>
          <t>m6i.large (2 vCPU, 8 GiB), single node, self-run</t>
        </is>
      </c>
      <c r="G14" s="5" t="n">
        <v>1</v>
      </c>
      <c r="H14" s="6" t="n">
        <v>85.92</v>
      </c>
      <c r="I14" s="7">
        <f>G14*H14</f>
        <v/>
      </c>
      <c r="J14" s="7">
        <f>I14</f>
        <v/>
      </c>
    </row>
    <row r="15">
      <c r="A15" s="8" t="n"/>
      <c r="B15" s="5" t="inlineStr">
        <is>
          <t>Event broker</t>
        </is>
      </c>
      <c r="C15" s="5" t="inlineStr">
        <is>
          <t>EBS (gp3)</t>
        </is>
      </c>
      <c r="D15" s="5" t="inlineStr">
        <is>
          <t>Broker storage</t>
        </is>
      </c>
      <c r="E15" s="5" t="inlineStr">
        <is>
          <t>me-central-1 (UAE)</t>
        </is>
      </c>
      <c r="F15" s="5" t="inlineStr">
        <is>
          <t>gp3 128 GB</t>
        </is>
      </c>
      <c r="G15" s="5" t="n">
        <v>1</v>
      </c>
      <c r="H15" s="6" t="n">
        <v>12.39</v>
      </c>
      <c r="I15" s="7">
        <f>G15*H15</f>
        <v/>
      </c>
      <c r="J15" s="7">
        <f>I15</f>
        <v/>
      </c>
    </row>
    <row r="16">
      <c r="A16" s="8" t="n"/>
      <c r="B16" s="5" t="inlineStr">
        <is>
          <t>Database</t>
        </is>
      </c>
      <c r="C16" s="5" t="inlineStr">
        <is>
          <t>Amazon RDS for PostgreSQL</t>
        </is>
      </c>
      <c r="D16" s="5" t="inlineStr">
        <is>
          <t>Primary with a Multi-AZ standby: control DB + DB per tenant</t>
        </is>
      </c>
      <c r="E16" s="5" t="inlineStr">
        <is>
          <t>me-central-1 (UAE)</t>
        </is>
      </c>
      <c r="F16" s="5" t="inlineStr">
        <is>
          <t>PostgreSQL 16, db.m6g.xlarge Multi-AZ, $0.772/h. The standby stays on this sheet: production PostgreSQL is zone-redundant on every tier (ADR-0060; Chinmay, 1 October)</t>
        </is>
      </c>
      <c r="G16" s="5" t="n">
        <v>1</v>
      </c>
      <c r="H16" s="6" t="n">
        <v>563.5599999999999</v>
      </c>
      <c r="I16" s="7">
        <f>G16*H16</f>
        <v/>
      </c>
      <c r="J16" s="7">
        <f>I16</f>
        <v/>
      </c>
    </row>
    <row r="17">
      <c r="A17" s="8" t="n"/>
      <c r="B17" s="5" t="inlineStr">
        <is>
          <t>Database</t>
        </is>
      </c>
      <c r="C17" s="5" t="inlineStr">
        <is>
          <t>Amazon RDS for PostgreSQL</t>
        </is>
      </c>
      <c r="D17" s="5" t="inlineStr">
        <is>
          <t>Storage, primary and standby</t>
        </is>
      </c>
      <c r="E17" s="5" t="inlineStr">
        <is>
          <t>me-central-1 (UAE)</t>
        </is>
      </c>
      <c r="F17" s="5" t="inlineStr">
        <is>
          <t>gp3 256 GB Multi-AZ at $0.279; PITR 35 days</t>
        </is>
      </c>
      <c r="G17" s="5" t="n">
        <v>1</v>
      </c>
      <c r="H17" s="6" t="n">
        <v>71.42</v>
      </c>
      <c r="I17" s="7">
        <f>G17*H17</f>
        <v/>
      </c>
      <c r="J17" s="7">
        <f>I17</f>
        <v/>
      </c>
    </row>
    <row r="18">
      <c r="A18" s="8" t="n"/>
      <c r="B18" s="5" t="inlineStr">
        <is>
          <t>Database</t>
        </is>
      </c>
      <c r="C18" s="5" t="inlineStr">
        <is>
          <t>Amazon RDS for PostgreSQL</t>
        </is>
      </c>
      <c r="D18" s="5" t="inlineStr">
        <is>
          <t>Read replica (operational reads; gate checks never read here)</t>
        </is>
      </c>
      <c r="E18" s="5" t="inlineStr">
        <is>
          <t>me-central-1 (UAE)</t>
        </is>
      </c>
      <c r="F18" s="5" t="inlineStr">
        <is>
          <t>db.m6g.xlarge single-AZ + gp3 256 GB</t>
        </is>
      </c>
      <c r="G18" s="5" t="n">
        <v>1</v>
      </c>
      <c r="H18" s="6" t="n">
        <v>317.62</v>
      </c>
      <c r="I18" s="7">
        <f>G18*H18</f>
        <v/>
      </c>
      <c r="J18" s="7">
        <f>I18</f>
        <v/>
      </c>
    </row>
    <row r="19">
      <c r="A19" s="8" t="n"/>
      <c r="B19" s="5" t="inlineStr">
        <is>
          <t>Database</t>
        </is>
      </c>
      <c r="C19" s="5" t="inlineStr">
        <is>
          <t>Amazon RDS for PostgreSQL</t>
        </is>
      </c>
      <c r="D19" s="5" t="inlineStr">
        <is>
          <t>Reporting replica (lag-tolerant, no writes)</t>
        </is>
      </c>
      <c r="E19" s="5" t="inlineStr">
        <is>
          <t>me-central-1 (UAE)</t>
        </is>
      </c>
      <c r="F19" s="5" t="inlineStr">
        <is>
          <t>db.m6g.large + gp3 256 GB. Reporting never reads an operational replica (ADR-0016)</t>
        </is>
      </c>
      <c r="G19" s="5" t="n">
        <v>1</v>
      </c>
      <c r="H19" s="6" t="n">
        <v>176.73</v>
      </c>
      <c r="I19" s="7">
        <f>G19*H19</f>
        <v/>
      </c>
      <c r="J19" s="7">
        <f>I19</f>
        <v/>
      </c>
    </row>
    <row r="20">
      <c r="A20" s="8" t="n"/>
      <c r="B20" s="5" t="inlineStr">
        <is>
          <t>Database</t>
        </is>
      </c>
      <c r="C20" s="5" t="inlineStr">
        <is>
          <t>Amazon RDS for PostgreSQL</t>
        </is>
      </c>
      <c r="D20" s="5" t="inlineStr">
        <is>
          <t>AI log database</t>
        </is>
      </c>
      <c r="E20" s="5" t="inlineStr">
        <is>
          <t>me-central-1 (UAE)</t>
        </is>
      </c>
      <c r="F20" s="5" t="inlineStr">
        <is>
          <t>db.m6g.large + gp3 512 GB</t>
        </is>
      </c>
      <c r="G20" s="5" t="n">
        <v>1</v>
      </c>
      <c r="H20" s="6" t="n">
        <v>212.57</v>
      </c>
      <c r="I20" s="7">
        <f>G20*H20</f>
        <v/>
      </c>
      <c r="J20" s="7">
        <f>I20</f>
        <v/>
      </c>
    </row>
    <row r="21">
      <c r="A21" s="8" t="n"/>
      <c r="B21" s="5" t="inlineStr">
        <is>
          <t>Cache</t>
        </is>
      </c>
      <c r="C21" s="5" t="inlineStr">
        <is>
          <t>Amazon ElastiCache (Valkey)</t>
        </is>
      </c>
      <c r="D21" s="5" t="inlineStr">
        <is>
          <t>Sessions, idempotency keys, request budgets, waiting-room positions, caches</t>
        </is>
      </c>
      <c r="E21" s="5" t="inlineStr">
        <is>
          <t>me-central-1 (UAE)</t>
        </is>
      </c>
      <c r="F21" s="5" t="inlineStr">
        <is>
          <t>cache.r7g.large (13.07 GiB), one node, no replica; $0.2142/h. A production cell without the replica is the client's call (ADR-0060)</t>
        </is>
      </c>
      <c r="G21" s="5" t="n">
        <v>1</v>
      </c>
      <c r="H21" s="6" t="n">
        <v>156.37</v>
      </c>
      <c r="I21" s="7">
        <f>G21*H21</f>
        <v/>
      </c>
      <c r="J21" s="7">
        <f>I21</f>
        <v/>
      </c>
    </row>
    <row r="22">
      <c r="A22" s="8" t="n"/>
      <c r="B22" s="5" t="inlineStr">
        <is>
          <t>Storage</t>
        </is>
      </c>
      <c r="C22" s="5" t="inlineStr">
        <is>
          <t>Amazon S3</t>
        </is>
      </c>
      <c r="D22" s="5" t="inlineStr">
        <is>
          <t>Media (including venue 3D models), exports, Qdrant snapshots, database dumps</t>
        </is>
      </c>
      <c r="E22" s="5" t="inlineStr">
        <is>
          <t>me-central-1 (UAE)</t>
        </is>
      </c>
      <c r="F22" s="5" t="inlineStr">
        <is>
          <t>S3 Standard, 2,048 GB, me-central-1 only (S3 has no single-AZ hot class: One Zone-IA is infrequent access)</t>
        </is>
      </c>
      <c r="G22" s="5" t="n">
        <v>1</v>
      </c>
      <c r="H22" s="6" t="n">
        <v>51.2</v>
      </c>
      <c r="I22" s="7">
        <f>G22*H22</f>
        <v/>
      </c>
      <c r="J22" s="7">
        <f>I22</f>
        <v/>
      </c>
    </row>
    <row r="23">
      <c r="A23" s="8" t="n"/>
      <c r="B23" s="5" t="inlineStr">
        <is>
          <t>Storage</t>
        </is>
      </c>
      <c r="C23" s="5" t="inlineStr">
        <is>
          <t>Amazon ECR</t>
        </is>
      </c>
      <c r="D23" s="5" t="inlineStr">
        <is>
          <t>Images for the five deployables</t>
        </is>
      </c>
      <c r="E23" s="5" t="inlineStr">
        <is>
          <t>me-central-1 (UAE)</t>
        </is>
      </c>
      <c r="F23" s="5" t="inlineStr">
        <is>
          <t>About 100 GB</t>
        </is>
      </c>
      <c r="G23" s="5" t="n">
        <v>1</v>
      </c>
      <c r="H23" s="6" t="n">
        <v>10</v>
      </c>
      <c r="I23" s="7">
        <f>G23*H23</f>
        <v/>
      </c>
      <c r="J23" s="7">
        <f>I23</f>
        <v/>
      </c>
    </row>
    <row r="24">
      <c r="A24" s="8" t="n"/>
      <c r="B24" s="5" t="inlineStr">
        <is>
          <t>Security</t>
        </is>
      </c>
      <c r="C24" s="5" t="inlineStr">
        <is>
          <t>AWS Secrets Manager</t>
        </is>
      </c>
      <c r="D24" s="5" t="inlineStr">
        <is>
          <t>Secrets (the Qdrant API key and the waiting-room token key)</t>
        </is>
      </c>
      <c r="E24" s="5" t="inlineStr">
        <is>
          <t>me-central-1 (UAE)</t>
        </is>
      </c>
      <c r="F24" s="5" t="inlineStr">
        <is>
          <t>About 20 secrets at $0.40</t>
        </is>
      </c>
      <c r="G24" s="5" t="n">
        <v>20</v>
      </c>
      <c r="H24" s="6" t="n">
        <v>0.4</v>
      </c>
      <c r="I24" s="7">
        <f>G24*H24</f>
        <v/>
      </c>
      <c r="J24" s="7">
        <f>I24</f>
        <v/>
      </c>
    </row>
    <row r="25">
      <c r="A25" s="8" t="n"/>
      <c r="B25" s="5" t="inlineStr">
        <is>
          <t>Security</t>
        </is>
      </c>
      <c r="C25" s="5" t="inlineStr">
        <is>
          <t>AWS KMS</t>
        </is>
      </c>
      <c r="D25" s="5" t="inlineStr">
        <is>
          <t>Platform and per-tenant keys</t>
        </is>
      </c>
      <c r="E25" s="5" t="inlineStr">
        <is>
          <t>me-central-1 (UAE)</t>
        </is>
      </c>
      <c r="F25" s="5" t="inlineStr">
        <is>
          <t>5 customer managed keys at $1 (+$1 a tenant a month)</t>
        </is>
      </c>
      <c r="G25" s="5" t="n">
        <v>5</v>
      </c>
      <c r="H25" s="6" t="n">
        <v>1</v>
      </c>
      <c r="I25" s="7">
        <f>G25*H25</f>
        <v/>
      </c>
      <c r="J25" s="7">
        <f>I25</f>
        <v/>
      </c>
    </row>
    <row r="26">
      <c r="A26" s="8" t="n"/>
      <c r="B26" s="5" t="inlineStr">
        <is>
          <t>Network</t>
        </is>
      </c>
      <c r="C26" s="5" t="inlineStr">
        <is>
          <t>Amazon CloudFront</t>
        </is>
      </c>
      <c r="D26" s="5" t="inlineStr">
        <is>
          <t>Single entry for web, apps and APIs; the on-sale waiting-room page</t>
        </is>
      </c>
      <c r="E26" s="5" t="inlineStr">
        <is>
          <t>Global (edge)</t>
        </is>
      </c>
      <c r="F26" s="5" t="inlineStr">
        <is>
          <t>2,048 GB to viewers in the Middle East at $0.110/GB ($225.28) + about 50 million HTTPS requests at $0.0120 per 10,000 ($60.00). Origin fetches from the ALB are free; a VPC origin keeps the ALB private (no charge line in the price list, to confirm)</t>
        </is>
      </c>
      <c r="G26" s="5" t="n">
        <v>1</v>
      </c>
      <c r="H26" s="6" t="n">
        <v>285.28</v>
      </c>
      <c r="I26" s="7">
        <f>G26*H26</f>
        <v/>
      </c>
      <c r="J26" s="7">
        <f>2*H26</f>
        <v/>
      </c>
    </row>
    <row r="27">
      <c r="A27" s="8" t="n"/>
      <c r="B27" s="5" t="inlineStr">
        <is>
          <t>Network</t>
        </is>
      </c>
      <c r="C27" s="5" t="inlineStr">
        <is>
          <t>AWS WAF</t>
        </is>
      </c>
      <c r="D27" s="5" t="inlineStr">
        <is>
          <t>WAF on CloudFront: OWASP and bot rules, rate rules per client IP</t>
        </is>
      </c>
      <c r="E27" s="5" t="inlineStr">
        <is>
          <t>Global (edge)</t>
        </is>
      </c>
      <c r="F27" s="5" t="inlineStr">
        <is>
          <t>Web ACL $5 + about 8 rules and managed rule groups (AWS managed core rule set for OWASP, rate-based rules per client IP) at $1 ($8.00) + 50 million requests at $0.60 per million ($30.00) + Bot Control (common) $10 + 40 million requests beyond the first 10 million at $1 per million ($40.00). A CloudFront web ACL is global: the me-central-1 rates, to confirm on the bill</t>
        </is>
      </c>
      <c r="G27" s="5" t="n">
        <v>1</v>
      </c>
      <c r="H27" s="6" t="n">
        <v>93</v>
      </c>
      <c r="I27" s="7">
        <f>G27*H27</f>
        <v/>
      </c>
      <c r="J27" s="7">
        <f>2*H27</f>
        <v/>
      </c>
    </row>
    <row r="28">
      <c r="A28" s="8" t="n"/>
      <c r="B28" s="5" t="inlineStr">
        <is>
          <t>Network</t>
        </is>
      </c>
      <c r="C28" s="5" t="inlineStr">
        <is>
          <t>Elastic Load Balancing (ALB)</t>
        </is>
      </c>
      <c r="D28" s="5" t="inlineStr">
        <is>
          <t>Ingress: an internal ALB, CloudFront's VPC origin</t>
        </is>
      </c>
      <c r="E28" s="5" t="inlineStr">
        <is>
          <t>me-central-1 (UAE)</t>
        </is>
      </c>
      <c r="F28" s="5" t="inlineStr">
        <is>
          <t>$0.028224/h ($20.60) + about 2 LCU on average at $0.00896 per LCU-hour ($13.08, an assumption). AWS Load Balancer Controller on the system node group</t>
        </is>
      </c>
      <c r="G28" s="5" t="n">
        <v>1</v>
      </c>
      <c r="H28" s="6" t="n">
        <v>33.68</v>
      </c>
      <c r="I28" s="7">
        <f>G28*H28</f>
        <v/>
      </c>
      <c r="J28" s="7">
        <f>2*H28</f>
        <v/>
      </c>
    </row>
    <row r="29">
      <c r="A29" s="8" t="n"/>
      <c r="B29" s="5" t="inlineStr">
        <is>
          <t>Network</t>
        </is>
      </c>
      <c r="C29" s="5" t="inlineStr">
        <is>
          <t>NAT Gateway</t>
        </is>
      </c>
      <c r="D29" s="5" t="inlineStr">
        <is>
          <t>One static egress IP for the allow-lists</t>
        </is>
      </c>
      <c r="E29" s="5" t="inlineStr">
        <is>
          <t>me-central-1 (UAE)</t>
        </is>
      </c>
      <c r="F29" s="5" t="inlineStr">
        <is>
          <t>1 zonal NAT Gateway at $0.0528/h ($38.54) + 1 TB processed at $0.0528/GB ($54.07) + 1 Elastic IP at $0.005/h ($3.65)</t>
        </is>
      </c>
      <c r="G29" s="5" t="n">
        <v>1</v>
      </c>
      <c r="H29" s="6" t="n">
        <v>96.26000000000001</v>
      </c>
      <c r="I29" s="7">
        <f>G29*H29</f>
        <v/>
      </c>
      <c r="J29" s="7">
        <f>I29</f>
        <v/>
      </c>
    </row>
    <row r="30">
      <c r="A30" s="8" t="n"/>
      <c r="B30" s="5" t="inlineStr">
        <is>
          <t>Network</t>
        </is>
      </c>
      <c r="C30" s="5" t="inlineStr">
        <is>
          <t>Systems Manager Session Manager</t>
        </is>
      </c>
      <c r="D30" s="5" t="inlineStr">
        <is>
          <t>Administrative access only</t>
        </is>
      </c>
      <c r="E30" s="5" t="inlineStr">
        <is>
          <t>me-central-1 (UAE)</t>
        </is>
      </c>
      <c r="F30" s="5" t="inlineStr">
        <is>
          <t>No charge line in the price list, to confirm</t>
        </is>
      </c>
      <c r="G30" s="5" t="n">
        <v>1</v>
      </c>
      <c r="H30" s="6" t="n">
        <v>0</v>
      </c>
      <c r="I30" s="7">
        <f>G30*H30</f>
        <v/>
      </c>
      <c r="J30" s="7">
        <f>I30</f>
        <v/>
      </c>
    </row>
    <row r="31">
      <c r="A31" s="8" t="n"/>
      <c r="B31" s="5" t="inlineStr">
        <is>
          <t>Network</t>
        </is>
      </c>
      <c r="C31" s="5" t="inlineStr">
        <is>
          <t>AWS PrivateLink (VPC endpoints)</t>
        </is>
      </c>
      <c r="D31" s="5" t="inlineStr">
        <is>
          <t>Private endpoints and private DNS. No store has a public endpoint, with or without HA</t>
        </is>
      </c>
      <c r="E31" s="5" t="inlineStr">
        <is>
          <t>me-central-1 (UAE)</t>
        </is>
      </c>
      <c r="F31" s="5" t="inlineStr">
        <is>
          <t>6 interface endpoints (ECR api and dkr, Secrets Manager, KMS, STS, CloudWatch Logs) x 1 AZ at $0.0121/h ($53.00) + about 100 GB processed at $0.01/GB ($1.00); S3 through a gateway endpoint (free); Route 53 private hosted zones</t>
        </is>
      </c>
      <c r="G31" s="5" t="n">
        <v>1</v>
      </c>
      <c r="H31" s="6" t="n">
        <v>54</v>
      </c>
      <c r="I31" s="7">
        <f>G31*H31</f>
        <v/>
      </c>
      <c r="J31" s="7">
        <f>I31</f>
        <v/>
      </c>
    </row>
    <row r="32">
      <c r="A32" s="8" t="n"/>
      <c r="B32" s="5" t="inlineStr">
        <is>
          <t>Network</t>
        </is>
      </c>
      <c r="C32" s="5" t="inlineStr">
        <is>
          <t>Data transfer out</t>
        </is>
      </c>
      <c r="D32" s="5" t="inlineStr">
        <is>
          <t>Egress through the NAT Gateway to providers</t>
        </is>
      </c>
      <c r="E32" s="5" t="inlineStr">
        <is>
          <t>me-central-1 (UAE)</t>
        </is>
      </c>
      <c r="F32" s="5" t="inlineStr">
        <is>
          <t>About 200 GB a month: the first 100 GB free, then $0.117/GB ($11.70). The ALB-to-CloudFront traffic is free; the web traffic is in the CloudFront line</t>
        </is>
      </c>
      <c r="G32" s="5" t="n">
        <v>1</v>
      </c>
      <c r="H32" s="6" t="n">
        <v>11.7</v>
      </c>
      <c r="I32" s="7">
        <f>G32*H32</f>
        <v/>
      </c>
      <c r="J32" s="7">
        <f>2*H32</f>
        <v/>
      </c>
    </row>
    <row r="33">
      <c r="A33" s="8" t="n"/>
      <c r="B33" s="5" t="inlineStr">
        <is>
          <t>Operations</t>
        </is>
      </c>
      <c r="C33" s="5" t="inlineStr">
        <is>
          <t>Amazon CloudWatch</t>
        </is>
      </c>
      <c r="D33" s="5" t="inlineStr">
        <is>
          <t>Logs, metrics, alerts</t>
        </is>
      </c>
      <c r="E33" s="5" t="inlineStr">
        <is>
          <t>me-central-1 (UAE)</t>
        </is>
      </c>
      <c r="F33" s="5" t="inlineStr">
        <is>
          <t>About 40 GB of logs ingested at $0.63/GB ($25.20), stored at $0.033 per GB-month ($1.32 in the first month, growing with retention), about 150 custom metrics at $0.30 ($45.00)</t>
        </is>
      </c>
      <c r="G33" s="5" t="n">
        <v>1</v>
      </c>
      <c r="H33" s="6" t="n">
        <v>71.52</v>
      </c>
      <c r="I33" s="7">
        <f>G33*H33</f>
        <v/>
      </c>
      <c r="J33" s="7">
        <f>I33</f>
        <v/>
      </c>
    </row>
    <row r="34">
      <c r="A34" s="8" t="n"/>
      <c r="B34" s="5" t="inlineStr">
        <is>
          <t>Operations</t>
        </is>
      </c>
      <c r="C34" s="5" t="inlineStr">
        <is>
          <t>AWS Backup</t>
        </is>
      </c>
      <c r="D34" s="5" t="inlineStr">
        <is>
          <t>Snapshots of the Qdrant and broker volumes</t>
        </is>
      </c>
      <c r="E34" s="5" t="inlineStr">
        <is>
          <t>me-central-1 (UAE)</t>
        </is>
      </c>
      <c r="F34" s="5" t="inlineStr">
        <is>
          <t>About 200 GB of incremental EBS snapshots at $0.055 per GB-month</t>
        </is>
      </c>
      <c r="G34" s="5" t="n">
        <v>1</v>
      </c>
      <c r="H34" s="6" t="n">
        <v>11</v>
      </c>
      <c r="I34" s="7">
        <f>G34*H34</f>
        <v/>
      </c>
      <c r="J34" s="7">
        <f>I34</f>
        <v/>
      </c>
    </row>
    <row r="35">
      <c r="A35" s="8" t="n"/>
      <c r="B35" s="5" t="inlineStr">
        <is>
          <t>Operations</t>
        </is>
      </c>
      <c r="C35" s="5" t="inlineStr">
        <is>
          <t>GuardDuty, Inspector, Security Hub</t>
        </is>
      </c>
      <c r="D35" s="5" t="inlineStr">
        <is>
          <t>Threat detection, scanning, posture</t>
        </is>
      </c>
      <c r="E35" s="5" t="inlineStr">
        <is>
          <t>me-central-1 (UAE)</t>
        </is>
      </c>
      <c r="F35" s="5" t="inlineStr">
        <is>
          <t>GuardDuty EKS Runtime Monitoring 38 vCPU x $1.58 ($60.04); RDS Protection 12 vCPU x $1.03 ($12.36); VPC flow and DNS logs about 15 GB x $1.25 ($18.75) and about 2 million CloudTrail events ($10.00); Inspector 7 instances x 730 h x $0.0021 ($10.73); Security Hub Essentials 7 instances x 730 h x $0.0056944 ($29.10). Volumes are assumptions</t>
        </is>
      </c>
      <c r="G35" s="5" t="n">
        <v>1</v>
      </c>
      <c r="H35" s="6" t="n">
        <v>140.98</v>
      </c>
      <c r="I35" s="7">
        <f>G35*H35</f>
        <v/>
      </c>
      <c r="J35" s="7">
        <f>I35</f>
        <v/>
      </c>
    </row>
    <row r="36">
      <c r="A36" s="9" t="n"/>
      <c r="B36" s="5" t="inlineStr">
        <is>
          <t>AI (usage)</t>
        </is>
      </c>
      <c r="C36" s="5" t="inlineStr">
        <is>
          <t>LLM providers</t>
        </is>
      </c>
      <c r="D36" s="5" t="inlineStr">
        <is>
          <t>Language model calls (re-billed per token, AI-D02)</t>
        </is>
      </c>
      <c r="E36" s="5" t="inlineStr">
        <is>
          <t>me-central-1 (UAE)</t>
        </is>
      </c>
      <c r="F36" s="5" t="inlineStr">
        <is>
          <t>Usage-based</t>
        </is>
      </c>
      <c r="G36" s="5" t="n">
        <v>1</v>
      </c>
      <c r="H36" s="6" t="n">
        <v>0</v>
      </c>
      <c r="I36" s="7">
        <f>G36*H36</f>
        <v/>
      </c>
      <c r="J36" s="7">
        <f>I36</f>
        <v/>
      </c>
    </row>
    <row r="37">
      <c r="F37" s="10" t="inlineStr">
        <is>
          <t>USD - Total cost per month</t>
        </is>
      </c>
      <c r="I37" s="11">
        <f>SUM(I7:I36)</f>
        <v/>
      </c>
      <c r="J37" s="14">
        <f>SUM(J7:J36)</f>
        <v/>
      </c>
    </row>
    <row r="38">
      <c r="F38" s="10" t="inlineStr">
        <is>
          <t>AED - Total cost per month</t>
        </is>
      </c>
      <c r="I38" s="11">
        <f>I37*$C$3</f>
        <v/>
      </c>
      <c r="J38" s="14">
        <f>J37*$C$3</f>
        <v/>
      </c>
    </row>
    <row r="39">
      <c r="F39" s="10" t="inlineStr">
        <is>
          <t>AED - Total cost per year</t>
        </is>
      </c>
      <c r="I39" s="11">
        <f>I38*12</f>
        <v/>
      </c>
    </row>
    <row r="40">
      <c r="F40" s="10" t="inlineStr">
        <is>
          <t>AED - Total price per year with margin</t>
        </is>
      </c>
      <c r="I40" s="11">
        <f>I39*(1+$C$4)</f>
        <v/>
      </c>
    </row>
    <row r="42">
      <c r="B42" s="12" t="inlineStr">
        <is>
          <t>Notes - Production</t>
        </is>
      </c>
    </row>
    <row r="43" ht="32" customHeight="1">
      <c r="B43" s="13"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 Savings Plans or reserved instances (1 or 3 years) lower compute by roughly 30-60%; confirm each line in the AWS Pricing Calculator for me-central-1 before quoting.</t>
        </is>
      </c>
    </row>
    <row r="44" ht="32" customHeight="1">
      <c r="B44" s="13" t="inlineStr">
        <is>
          <t>The same cell as the Azure sheets, service for service (the AWS LLD, TICVAI-LLD-AWS.md, has the mapping): the same five node groups and ADR-0061 floors, the same stores, the same entry. Region me-central-1 (Middle East, UAE), three AZs; every store stays in the UAE.</t>
        </is>
      </c>
    </row>
    <row r="45" ht="32" customHeight="1">
      <c r="B45" s="13" t="inlineStr">
        <is>
          <t>Database: RDS for PostgreSQL 16 (Multi-AZ DB instance), not Aurora PostgreSQL. Like for like, RDS costs less: the primary with its standby is $563.56 (db.m6g.xlarge Multi-AZ) and the two read replicas and the reporting replica $704.45, $1,268.01 of instances in all; Aurora PostgreSQL lists no general-purpose (db.m) class in me-central-1, only r and t, so the same shape is a db.r6g.xlarge writer and two readers (one is the failover target, so it doubles as a replica) plus a db.r6g.large reporting reader, $1,601.62, before Aurora's $0.242 per million I/O requests (a volume nobody knows until the load test). RDS also matches the Azure design one for one (Flexible Server: a standby that does not serve reads, separate replicas), so the Terraform module, the runbooks and ADR-0060 carry over. Aurora's case is a faster failover (about 30 seconds against one to two minutes) and up to 15 readers; revisit it if the commerce target (99.95%) needs that.</t>
        </is>
      </c>
    </row>
    <row r="46" ht="32" customHeight="1">
      <c r="B46" s="13" t="inlineStr">
        <is>
          <t>AI GPU node: g6.2xlarge (8 vCPU, 32 GiB, one NVIDIA L4 with 24 GB) at $1.20043 an hour, $876.31 a month a node: g6 is offered in me-central-1 (the EC2 offer file of 25 September lists g6.xlarge to g6.48xlarge). g6.xlarge ($721.42) has 4 vCPU, too few for three AI pods at about 1 vCPU each beside Presidio and the node's own daemons; g5.xlarge ($900.82, A10G) costs more and also has 4 vCPU; g5.2xlarge is $1,085.28. The L4's 24 GB is six times the 4 GB of Azure's NV6ads A10 v5 slice, so the GPU-memory step-up Azure keeps in reserve (NV12ads) is not needed on AWS; the AWS node costs $402.54 a month more than Azure's. Whether each of the three AZs has g6 capacity is to confirm before the HA node group is built.</t>
        </is>
      </c>
    </row>
    <row r="47" ht="32" customHeight="1">
      <c r="B47" s="13" t="inlineStr">
        <is>
          <t>Disaster recovery on AWS is open (CHG-R3-001): AWS has one UAE region. The options (in-region backups only; Bahrain, which breaks UAE residency; another provider or on premises in the UAE) are in TICVAI-LLD-AWS.md. No DR cost is on these sheets.</t>
        </is>
      </c>
    </row>
    <row r="48" ht="32" customHeight="1">
      <c r="B48" s="13" t="inlineStr">
        <is>
          <t>The broker matches the Azure choice: self-run on its own node group (the fallback the Terraform builds) until the client picks (ADR-0057, due 12 October). Amazon MQ for RabbitMQ is AWS's managed option (3 x mq.m7g.large, $733.65 a month plus storage); CloudAMQP's availability in me-central-1 is to confirm.</t>
        </is>
      </c>
    </row>
    <row r="49" ht="32" customHeight="1">
      <c r="B49" s="13" t="inlineStr">
        <is>
          <t>Differences that move the total: EKS has no free tier ($73 for every cluster, pre-production included); the NAT Gateway is zonal, so HA means three gateways and three egress IPs for the providers to allow-list; every EC2 node carries an EBS root volume; the AWS GPU node (a whole L4, 24 GB) costs more than Azure's A10 slice; the edge (CloudFront + WAF) and the security tooling (GuardDuty, Inspector, Security Hub) cost less than Front Door Premium and Defender for Cloud at these volumes.</t>
        </is>
      </c>
    </row>
    <row r="50" ht="32" customHeight="1">
      <c r="B50" s="13" t="inlineStr">
        <is>
          <t>Not included: LLM tokens, SMS, email and WhatsApp fees, payment provider fees, the e-invoicing provider, DR (open), Apple and Google developer accounts, venue hardware, AWS Support plans (Business support is a percentage of the bill).</t>
        </is>
      </c>
    </row>
    <row r="51" ht="32" customHeight="1">
      <c r="B51" s="13" t="inlineStr">
        <is>
          <t>To confirm (the price list does not settle them): 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row>
    <row r="52" ht="32" customHeight="1">
      <c r="B52" s="13" t="inlineStr">
        <is>
          <t>Single AZ for everything except PostgreSQL, whose Multi-AZ standby stays (ADR-0060): an AZ outage stops the cloud services until they are restored; the database fails over. Venue gates and POS keep working on the venue edge node, offline. As on the Azure sheet, whether production may run this way is the client's answer to ADR-0060.</t>
        </is>
      </c>
    </row>
    <row r="55">
      <c r="A55" s="3" t="inlineStr">
        <is>
          <t>Environment</t>
        </is>
      </c>
      <c r="B55" s="3" t="inlineStr">
        <is>
          <t>Group</t>
        </is>
      </c>
      <c r="C55" s="3" t="inlineStr">
        <is>
          <t>AWS service type</t>
        </is>
      </c>
      <c r="D55" s="3" t="inlineStr">
        <is>
          <t>Service description</t>
        </is>
      </c>
      <c r="E55" s="3" t="inlineStr">
        <is>
          <t>Region</t>
        </is>
      </c>
      <c r="F55" s="3" t="inlineStr">
        <is>
          <t>Specs description</t>
        </is>
      </c>
      <c r="G55" s="3" t="inlineStr">
        <is>
          <t>Qty</t>
        </is>
      </c>
      <c r="H55" s="3" t="inlineStr">
        <is>
          <t>Unit price (USD / month)</t>
        </is>
      </c>
      <c r="I55" s="3" t="inlineStr">
        <is>
          <t>Estimated monthly cost (USD)</t>
        </is>
      </c>
      <c r="J55" s="3" t="inlineStr">
        <is>
          <t>When solution is scaled up (USD)</t>
        </is>
      </c>
    </row>
    <row r="56">
      <c r="A56" s="4" t="inlineStr">
        <is>
          <t>Pre-production</t>
        </is>
      </c>
      <c r="B56" s="5" t="inlineStr">
        <is>
          <t>Compute (EKS)</t>
        </is>
      </c>
      <c r="C56" s="5" t="inlineStr">
        <is>
          <t>Amazon EKS</t>
        </is>
      </c>
      <c r="D56" s="5" t="inlineStr">
        <is>
          <t>Control plane</t>
        </is>
      </c>
      <c r="E56" s="5" t="inlineStr">
        <is>
          <t>me-central-1 (UAE)</t>
        </is>
      </c>
      <c r="F56" s="5" t="inlineStr">
        <is>
          <t>$0.10/h: EKS has no free tier (AKS Free on Azure); a namespace on the production cluster would save it</t>
        </is>
      </c>
      <c r="G56" s="5" t="n">
        <v>1</v>
      </c>
      <c r="H56" s="6" t="n">
        <v>73</v>
      </c>
      <c r="I56" s="7">
        <f>G56*H56</f>
        <v/>
      </c>
      <c r="J56" s="7">
        <f>I56</f>
        <v/>
      </c>
    </row>
    <row r="57">
      <c r="A57" s="8" t="n"/>
      <c r="B57" s="5" t="inlineStr">
        <is>
          <t>Compute (EKS)</t>
        </is>
      </c>
      <c r="C57" s="5" t="inlineStr">
        <is>
          <t>EC2 (EKS managed node group)</t>
        </is>
      </c>
      <c r="D57" s="5" t="inlineStr">
        <is>
          <t>System and workload nodes, all five deployables</t>
        </is>
      </c>
      <c r="E57" s="5" t="inlineStr">
        <is>
          <t>me-central-1 (UAE)</t>
        </is>
      </c>
      <c r="F57" s="5" t="inlineStr">
        <is>
          <t>m6i.2xlarge (8 vCPU, 32 GiB) x2 + m6i.xlarge x1, Linux. One replica per unit: the ADR-0061 floors are for production cells</t>
        </is>
      </c>
      <c r="G57" s="5" t="n">
        <v>1</v>
      </c>
      <c r="H57" s="6" t="n">
        <v>859.21</v>
      </c>
      <c r="I57" s="7">
        <f>G57*H57</f>
        <v/>
      </c>
      <c r="J57" s="7">
        <f>I57</f>
        <v/>
      </c>
    </row>
    <row r="58">
      <c r="A58" s="8" t="n"/>
      <c r="B58" s="5" t="inlineStr">
        <is>
          <t>Compute (EKS)</t>
        </is>
      </c>
      <c r="C58" s="5" t="inlineStr">
        <is>
          <t>EBS (gp3)</t>
        </is>
      </c>
      <c r="D58" s="5" t="inlineStr">
        <is>
          <t>Node root volumes</t>
        </is>
      </c>
      <c r="E58" s="5" t="inlineStr">
        <is>
          <t>me-central-1 (UAE)</t>
        </is>
      </c>
      <c r="F58" s="5" t="inlineStr">
        <is>
          <t>gp3 80 GB per node at $0.0968 per GB-month ($7.74 a node), 3 nodes. The Azure sheets carry no OS-disk line</t>
        </is>
      </c>
      <c r="G58" s="5" t="n">
        <v>3</v>
      </c>
      <c r="H58" s="6" t="n">
        <v>7.74</v>
      </c>
      <c r="I58" s="7">
        <f>G58*H58</f>
        <v/>
      </c>
      <c r="J58" s="7">
        <f>I58</f>
        <v/>
      </c>
    </row>
    <row r="59">
      <c r="A59" s="8" t="n"/>
      <c r="B59" s="5" t="inlineStr">
        <is>
          <t>Vector store</t>
        </is>
      </c>
      <c r="C59" s="5" t="inlineStr">
        <is>
          <t>EC2 (EKS managed node group)</t>
        </is>
      </c>
      <c r="D59" s="5" t="inlineStr">
        <is>
          <t>Qdrant, single node</t>
        </is>
      </c>
      <c r="E59" s="5" t="inlineStr">
        <is>
          <t>me-central-1 (UAE)</t>
        </is>
      </c>
      <c r="F59" s="5" t="inlineStr">
        <is>
          <t>r6i.large (2 vCPU, 16 GiB; the E2s v5 line) + gp3 128 GB</t>
        </is>
      </c>
      <c r="G59" s="5" t="n">
        <v>1</v>
      </c>
      <c r="H59" s="6" t="n">
        <v>125.61</v>
      </c>
      <c r="I59" s="7">
        <f>G59*H59</f>
        <v/>
      </c>
      <c r="J59" s="7">
        <f>I59</f>
        <v/>
      </c>
    </row>
    <row r="60">
      <c r="A60" s="8" t="n"/>
      <c r="B60" s="5" t="inlineStr">
        <is>
          <t>Event broker</t>
        </is>
      </c>
      <c r="C60" s="5" t="inlineStr">
        <is>
          <t>EC2 (EKS managed node group)</t>
        </is>
      </c>
      <c r="D60" s="5" t="inlineStr">
        <is>
          <t>RabbitMQ, single node, whichever broker production uses</t>
        </is>
      </c>
      <c r="E60" s="5" t="inlineStr">
        <is>
          <t>me-central-1 (UAE)</t>
        </is>
      </c>
      <c r="F60" s="5" t="inlineStr">
        <is>
          <t>m6i.large (2 vCPU, 8 GiB)</t>
        </is>
      </c>
      <c r="G60" s="5" t="n">
        <v>1</v>
      </c>
      <c r="H60" s="6" t="n">
        <v>85.92</v>
      </c>
      <c r="I60" s="7">
        <f>G60*H60</f>
        <v/>
      </c>
      <c r="J60" s="7">
        <f>I60</f>
        <v/>
      </c>
    </row>
    <row r="61">
      <c r="A61" s="8" t="n"/>
      <c r="B61" s="5" t="inlineStr">
        <is>
          <t>Event broker</t>
        </is>
      </c>
      <c r="C61" s="5" t="inlineStr">
        <is>
          <t>EBS (gp3)</t>
        </is>
      </c>
      <c r="D61" s="5" t="inlineStr">
        <is>
          <t>Broker storage</t>
        </is>
      </c>
      <c r="E61" s="5" t="inlineStr">
        <is>
          <t>me-central-1 (UAE)</t>
        </is>
      </c>
      <c r="F61" s="5" t="inlineStr">
        <is>
          <t>gp3 128 GB</t>
        </is>
      </c>
      <c r="G61" s="5" t="n">
        <v>1</v>
      </c>
      <c r="H61" s="6" t="n">
        <v>12.39</v>
      </c>
      <c r="I61" s="7">
        <f>G61*H61</f>
        <v/>
      </c>
      <c r="J61" s="7">
        <f>I61</f>
        <v/>
      </c>
    </row>
    <row r="62">
      <c r="A62" s="8" t="n"/>
      <c r="B62" s="5" t="inlineStr">
        <is>
          <t>Database</t>
        </is>
      </c>
      <c r="C62" s="5" t="inlineStr">
        <is>
          <t>Amazon RDS for PostgreSQL</t>
        </is>
      </c>
      <c r="D62" s="5" t="inlineStr">
        <is>
          <t>Control DB + test tenant DBs + AI log DB</t>
        </is>
      </c>
      <c r="E62" s="5" t="inlineStr">
        <is>
          <t>me-central-1 (UAE)</t>
        </is>
      </c>
      <c r="F62" s="5" t="inlineStr">
        <is>
          <t>PostgreSQL 16, db.m6g.large single-AZ + gp3 256 GB, no standby (pre-production only), no replicas</t>
        </is>
      </c>
      <c r="G62" s="5" t="n">
        <v>1</v>
      </c>
      <c r="H62" s="6" t="n">
        <v>176.73</v>
      </c>
      <c r="I62" s="7">
        <f>G62*H62</f>
        <v/>
      </c>
      <c r="J62" s="7">
        <f>I62</f>
        <v/>
      </c>
    </row>
    <row r="63">
      <c r="A63" s="8" t="n"/>
      <c r="B63" s="5" t="inlineStr">
        <is>
          <t>Cache</t>
        </is>
      </c>
      <c r="C63" s="5" t="inlineStr">
        <is>
          <t>Amazon ElastiCache (Valkey)</t>
        </is>
      </c>
      <c r="D63" s="5" t="inlineStr">
        <is>
          <t>Test cache</t>
        </is>
      </c>
      <c r="E63" s="5" t="inlineStr">
        <is>
          <t>me-central-1 (UAE)</t>
        </is>
      </c>
      <c r="F63" s="5" t="inlineStr">
        <is>
          <t>cache.m7g.large (6.38 GiB), one node, $0.153/h (no smaller Valkey node is listed for me-central-1)</t>
        </is>
      </c>
      <c r="G63" s="5" t="n">
        <v>1</v>
      </c>
      <c r="H63" s="6" t="n">
        <v>111.69</v>
      </c>
      <c r="I63" s="7">
        <f>G63*H63</f>
        <v/>
      </c>
      <c r="J63" s="7">
        <f>I63</f>
        <v/>
      </c>
    </row>
    <row r="64">
      <c r="A64" s="8" t="n"/>
      <c r="B64" s="5" t="inlineStr">
        <is>
          <t>Storage</t>
        </is>
      </c>
      <c r="C64" s="5" t="inlineStr">
        <is>
          <t>Amazon S3</t>
        </is>
      </c>
      <c r="D64" s="5" t="inlineStr">
        <is>
          <t>Test media and snapshots</t>
        </is>
      </c>
      <c r="E64" s="5" t="inlineStr">
        <is>
          <t>me-central-1 (UAE)</t>
        </is>
      </c>
      <c r="F64" s="5" t="inlineStr">
        <is>
          <t>S3 Standard, 500 GB</t>
        </is>
      </c>
      <c r="G64" s="5" t="n">
        <v>1</v>
      </c>
      <c r="H64" s="6" t="n">
        <v>12.5</v>
      </c>
      <c r="I64" s="7">
        <f>G64*H64</f>
        <v/>
      </c>
      <c r="J64" s="7">
        <f>I64</f>
        <v/>
      </c>
    </row>
    <row r="65">
      <c r="A65" s="8" t="n"/>
      <c r="B65" s="5" t="inlineStr">
        <is>
          <t>Security</t>
        </is>
      </c>
      <c r="C65" s="5" t="inlineStr">
        <is>
          <t>AWS Secrets Manager</t>
        </is>
      </c>
      <c r="D65" s="5" t="inlineStr">
        <is>
          <t>Test secrets</t>
        </is>
      </c>
      <c r="E65" s="5" t="inlineStr">
        <is>
          <t>me-central-1 (UAE)</t>
        </is>
      </c>
      <c r="F65" s="5" t="inlineStr">
        <is>
          <t>About 5 secrets at $0.40</t>
        </is>
      </c>
      <c r="G65" s="5" t="n">
        <v>5</v>
      </c>
      <c r="H65" s="6" t="n">
        <v>0.4</v>
      </c>
      <c r="I65" s="7">
        <f>G65*H65</f>
        <v/>
      </c>
      <c r="J65" s="7">
        <f>I65</f>
        <v/>
      </c>
    </row>
    <row r="66">
      <c r="A66" s="8" t="n"/>
      <c r="B66" s="5" t="inlineStr">
        <is>
          <t>Network</t>
        </is>
      </c>
      <c r="C66" s="5" t="inlineStr">
        <is>
          <t>CloudFront, WAF, ALB, NAT, ECR</t>
        </is>
      </c>
      <c r="D66" s="5" t="inlineStr">
        <is>
          <t>Shared with production</t>
        </is>
      </c>
      <c r="E66" s="5" t="inlineStr">
        <is>
          <t>me-central-1 (UAE)</t>
        </is>
      </c>
      <c r="F66" s="5" t="inlineStr">
        <is>
          <t>Separate behaviours and web ACL rules</t>
        </is>
      </c>
      <c r="G66" s="5" t="n">
        <v>1</v>
      </c>
      <c r="H66" s="6" t="n">
        <v>0</v>
      </c>
      <c r="I66" s="7">
        <f>G66*H66</f>
        <v/>
      </c>
      <c r="J66" s="7">
        <f>I66</f>
        <v/>
      </c>
    </row>
    <row r="67">
      <c r="A67" s="9" t="n"/>
      <c r="B67" s="5" t="inlineStr">
        <is>
          <t>Operations</t>
        </is>
      </c>
      <c r="C67" s="5" t="inlineStr">
        <is>
          <t>Amazon CloudWatch</t>
        </is>
      </c>
      <c r="D67" s="5" t="inlineStr">
        <is>
          <t>Logs and metrics</t>
        </is>
      </c>
      <c r="E67" s="5" t="inlineStr">
        <is>
          <t>me-central-1 (UAE)</t>
        </is>
      </c>
      <c r="F67" s="5" t="inlineStr">
        <is>
          <t>About 20 GB of logs ingested at $0.63/GB ($12.60), stored at $0.033 per GB-month ($0.66 in the first month, growing with retention), about 50 custom metrics at $0.30 ($15.00)</t>
        </is>
      </c>
      <c r="G67" s="5" t="n">
        <v>1</v>
      </c>
      <c r="H67" s="6" t="n">
        <v>28.26</v>
      </c>
      <c r="I67" s="7">
        <f>G67*H67</f>
        <v/>
      </c>
      <c r="J67" s="7">
        <f>I67</f>
        <v/>
      </c>
    </row>
    <row r="68">
      <c r="F68" s="10" t="inlineStr">
        <is>
          <t>USD - Total cost per month</t>
        </is>
      </c>
      <c r="I68" s="11">
        <f>SUM(I56:I67)</f>
        <v/>
      </c>
      <c r="J68" s="14">
        <f>SUM(J56:J67)</f>
        <v/>
      </c>
    </row>
    <row r="69">
      <c r="F69" s="10" t="inlineStr">
        <is>
          <t>AED - Total cost per month</t>
        </is>
      </c>
      <c r="I69" s="11">
        <f>I68*$C$3</f>
        <v/>
      </c>
      <c r="J69" s="14">
        <f>J68*$C$3</f>
        <v/>
      </c>
    </row>
    <row r="70">
      <c r="F70" s="10" t="inlineStr">
        <is>
          <t>AED - Total cost per year</t>
        </is>
      </c>
      <c r="I70" s="11">
        <f>I69*12</f>
        <v/>
      </c>
    </row>
    <row r="71">
      <c r="F71" s="10" t="inlineStr">
        <is>
          <t>AED - Total price per year with margin</t>
        </is>
      </c>
      <c r="I71" s="11">
        <f>I70*(1+$C$4)</f>
        <v/>
      </c>
    </row>
    <row r="73">
      <c r="B73" s="12" t="inlineStr">
        <is>
          <t>Notes - Pre-production</t>
        </is>
      </c>
    </row>
    <row r="74" ht="32" customHeight="1">
      <c r="B74" s="13" t="inlineStr">
        <is>
          <t>One pre-production environment for acceptance testing and client demos; development runs locally on docker-compose (deploy/*.yml) and on this cluster.</t>
        </is>
      </c>
    </row>
    <row r="75" ht="32" customHeight="1">
      <c r="B75" s="13" t="inlineStr">
        <is>
          <t>Zero-priced lines are covered by production.</t>
        </is>
      </c>
    </row>
  </sheetData>
  <mergeCells count="14">
    <mergeCell ref="B74:I74"/>
    <mergeCell ref="B52:I52"/>
    <mergeCell ref="B44:I44"/>
    <mergeCell ref="B48:I48"/>
    <mergeCell ref="B75:I75"/>
    <mergeCell ref="B47:I47"/>
    <mergeCell ref="B51:I51"/>
    <mergeCell ref="A56:A67"/>
    <mergeCell ref="A7:A36"/>
    <mergeCell ref="B45:I45"/>
    <mergeCell ref="B46:I46"/>
    <mergeCell ref="B49:I49"/>
    <mergeCell ref="B50:I50"/>
    <mergeCell ref="B43:I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6" customWidth="1" min="3" max="3"/>
    <col width="38" customWidth="1" min="4" max="4"/>
    <col width="11" customWidth="1" min="5" max="5"/>
    <col width="46" customWidth="1" min="6" max="6"/>
    <col width="6" customWidth="1" min="7" max="7"/>
    <col width="14" customWidth="1" min="8" max="8"/>
    <col width="16" customWidth="1" min="9" max="9"/>
    <col width="18" customWidth="1" min="10" max="10"/>
  </cols>
  <sheetData>
    <row r="1">
      <c r="A1" s="1" t="inlineStr">
        <is>
          <t>TICVAI - AWS cloud specs and cost (infra with high availability)</t>
        </is>
      </c>
    </row>
    <row r="3">
      <c r="B3" t="inlineStr">
        <is>
          <t>AED per USD</t>
        </is>
      </c>
      <c r="C3" t="n">
        <v>3.6725</v>
      </c>
      <c r="D3" t="inlineStr">
        <is>
          <t>Edit the rate, the margin and any unit price; every total is a formula.</t>
        </is>
      </c>
    </row>
    <row r="4">
      <c r="B4" t="inlineStr">
        <is>
          <t>Margin</t>
        </is>
      </c>
      <c r="C4" s="2" t="n">
        <v>0.2</v>
      </c>
      <c r="D4"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Environment</t>
        </is>
      </c>
      <c r="B6" s="3" t="inlineStr">
        <is>
          <t>Group</t>
        </is>
      </c>
      <c r="C6" s="3" t="inlineStr">
        <is>
          <t>AWS service type</t>
        </is>
      </c>
      <c r="D6" s="3" t="inlineStr">
        <is>
          <t>Service description</t>
        </is>
      </c>
      <c r="E6" s="3" t="inlineStr">
        <is>
          <t>Region</t>
        </is>
      </c>
      <c r="F6" s="3" t="inlineStr">
        <is>
          <t>Specs description</t>
        </is>
      </c>
      <c r="G6" s="3" t="inlineStr">
        <is>
          <t>Qty</t>
        </is>
      </c>
      <c r="H6" s="3" t="inlineStr">
        <is>
          <t>Unit price (USD / month)</t>
        </is>
      </c>
      <c r="I6" s="3" t="inlineStr">
        <is>
          <t>Estimated monthly cost (USD)</t>
        </is>
      </c>
      <c r="J6" s="3" t="inlineStr">
        <is>
          <t>When solution is scaled up (USD)</t>
        </is>
      </c>
    </row>
    <row r="7">
      <c r="A7" s="4" t="inlineStr">
        <is>
          <t>Production</t>
        </is>
      </c>
      <c r="B7" s="5" t="inlineStr">
        <is>
          <t>Compute (EKS)</t>
        </is>
      </c>
      <c r="C7" s="5" t="inlineStr">
        <is>
          <t>Amazon EKS</t>
        </is>
      </c>
      <c r="D7" s="5" t="inlineStr">
        <is>
          <t>Control plane, standard support</t>
        </is>
      </c>
      <c r="E7" s="5" t="inlineStr">
        <is>
          <t>me-central-1 (UAE)</t>
        </is>
      </c>
      <c r="F7" s="5" t="inlineStr">
        <is>
          <t>$0.10/h; the uptime SLA is included (the AKS Standard tier line)</t>
        </is>
      </c>
      <c r="G7" s="5" t="n">
        <v>1</v>
      </c>
      <c r="H7" s="6" t="n">
        <v>73</v>
      </c>
      <c r="I7" s="7">
        <f>G7*H7</f>
        <v/>
      </c>
      <c r="J7" s="7">
        <f>I7</f>
        <v/>
      </c>
    </row>
    <row r="8">
      <c r="A8" s="8" t="n"/>
      <c r="B8" s="5" t="inlineStr">
        <is>
          <t>Compute (EKS)</t>
        </is>
      </c>
      <c r="C8" s="5" t="inlineStr">
        <is>
          <t>EC2 (EKS managed node group)</t>
        </is>
      </c>
      <c r="D8" s="5" t="inlineStr">
        <is>
          <t>System node group (and the ingress controller pods)</t>
        </is>
      </c>
      <c r="E8" s="5" t="inlineStr">
        <is>
          <t>me-central-1 (UAE)</t>
        </is>
      </c>
      <c r="F8" s="5" t="inlineStr">
        <is>
          <t>m6i.xlarge (4 vCPU, 16 GiB; the D4s v5 line), Linux, $0.2354/h, autoscale 2-4 across AZs a-c; budgeted at 3, one per AZ</t>
        </is>
      </c>
      <c r="G8" s="5" t="n">
        <v>3</v>
      </c>
      <c r="H8" s="6" t="n">
        <v>171.84</v>
      </c>
      <c r="I8" s="7">
        <f>G8*H8</f>
        <v/>
      </c>
      <c r="J8" s="7">
        <f>I8</f>
        <v/>
      </c>
    </row>
    <row r="9">
      <c r="A9" s="8" t="n"/>
      <c r="B9" s="5" t="inlineStr">
        <is>
          <t>Compute (EKS)</t>
        </is>
      </c>
      <c r="C9" s="5" t="inlineStr">
        <is>
          <t>EC2 (EKS managed node group)</t>
        </is>
      </c>
      <c r="D9" s="5" t="inlineStr">
        <is>
          <t>Workload node group: commerce, access, operations, workers</t>
        </is>
      </c>
      <c r="E9" s="5" t="inlineStr">
        <is>
          <t>me-central-1 (UAE)</t>
        </is>
      </c>
      <c r="F9" s="5" t="inlineStr">
        <is>
          <t>m6i.2xlarge (8 vCPU, 32 GiB; the D8s v5 line), $0.4708/h, autoscale 3-20 across AZs. Carries ADR-0061's floors as on Azure: 9 replicas, commerce one per AZ. Scaled up, 6 nodes</t>
        </is>
      </c>
      <c r="G9" s="5" t="n">
        <v>3</v>
      </c>
      <c r="H9" s="6" t="n">
        <v>343.68</v>
      </c>
      <c r="I9" s="7">
        <f>G9*H9</f>
        <v/>
      </c>
      <c r="J9" s="7">
        <f>6*H9</f>
        <v/>
      </c>
    </row>
    <row r="10">
      <c r="A10" s="8" t="n"/>
      <c r="B10" s="5" t="inlineStr">
        <is>
          <t>Compute (EKS)</t>
        </is>
      </c>
      <c r="C10" s="5" t="inlineStr">
        <is>
          <t>EC2 (EKS managed node group)</t>
        </is>
      </c>
      <c r="D10" s="5" t="inlineStr">
        <is>
          <t>AI GPU node group: ticvai-ai, BGE-M3 and its reranker, Presidio and the Arabic NER (CHG-R11-001)</t>
        </is>
      </c>
      <c r="E10" s="5" t="inlineStr">
        <is>
          <t>me-central-1 (UAE)</t>
        </is>
      </c>
      <c r="F10" s="5" t="inlineStr">
        <is>
          <t>g6.2xlarge (8 vCPU, 32 GiB, 1 x NVIDIA L4 24 GB), $1.20043/h, tainted. Offered in me-central-1 (EC2 price list of 25 September); g6 capacity in each AZ to confirm. Carries the floors (real-time 2, interactive 1, batch 0, about 1 vCPU a pod), Presidio on the CPU, and on the GPU BGE-M3, its reranker and the Arabic NER; never an LLM. g6.xlarge ($721.42) has 4 vCPU, too few for the AI pods beside Presidio; g5.xlarge ($900.82) costs more with 4 vCPU; g5.2xlarge $1,085.28. One node per AZ</t>
        </is>
      </c>
      <c r="G10" s="5" t="n">
        <v>2</v>
      </c>
      <c r="H10" s="6" t="n">
        <v>876.3099999999999</v>
      </c>
      <c r="I10" s="7">
        <f>G10*H10</f>
        <v/>
      </c>
      <c r="J10" s="7">
        <f>4*H10</f>
        <v/>
      </c>
    </row>
    <row r="11">
      <c r="A11" s="8" t="n"/>
      <c r="B11" s="5" t="inlineStr">
        <is>
          <t>Compute (EKS)</t>
        </is>
      </c>
      <c r="C11" s="5" t="inlineStr">
        <is>
          <t>EBS (gp3)</t>
        </is>
      </c>
      <c r="D11" s="5" t="inlineStr">
        <is>
          <t>Node root volumes</t>
        </is>
      </c>
      <c r="E11" s="5" t="inlineStr">
        <is>
          <t>me-central-1 (UAE)</t>
        </is>
      </c>
      <c r="F11" s="5" t="inlineStr">
        <is>
          <t>gp3 80 GB per node at $0.0968 per GB-month ($7.74 a node), 14 nodes. The Azure sheets carry no OS-disk line (3 system, 3 workload, 2 GPU, 3 qdrant, 3 broker; 19 scaled up)</t>
        </is>
      </c>
      <c r="G11" s="5" t="n">
        <v>14</v>
      </c>
      <c r="H11" s="6" t="n">
        <v>7.74</v>
      </c>
      <c r="I11" s="7">
        <f>G11*H11</f>
        <v/>
      </c>
      <c r="J11" s="7">
        <f>19*H11</f>
        <v/>
      </c>
    </row>
    <row r="12">
      <c r="A12" s="8" t="n"/>
      <c r="B12" s="5" t="inlineStr">
        <is>
          <t>Vector store</t>
        </is>
      </c>
      <c r="C12" s="5" t="inlineStr">
        <is>
          <t>EC2 (EKS managed node group)</t>
        </is>
      </c>
      <c r="D12" s="5" t="inlineStr">
        <is>
          <t>Qdrant cluster, one collection per tenant (ADR-0049)</t>
        </is>
      </c>
      <c r="E12" s="5" t="inlineStr">
        <is>
          <t>me-central-1 (UAE)</t>
        </is>
      </c>
      <c r="F12" s="5" t="inlineStr">
        <is>
          <t>qdrant node group: r6i.xlarge (4 vCPU, 32 GiB; the E4s v5 line), $0.3102/h, x3 one per AZ, replication factor 2, TLS, collection-scoped JWT per tenant; tainted ticvai.io/pool=data</t>
        </is>
      </c>
      <c r="G12" s="5" t="n">
        <v>3</v>
      </c>
      <c r="H12" s="6" t="n">
        <v>226.45</v>
      </c>
      <c r="I12" s="7">
        <f>G12*H12</f>
        <v/>
      </c>
      <c r="J12" s="7">
        <f>I12</f>
        <v/>
      </c>
    </row>
    <row r="13">
      <c r="A13" s="8" t="n"/>
      <c r="B13" s="5" t="inlineStr">
        <is>
          <t>Vector store</t>
        </is>
      </c>
      <c r="C13" s="5" t="inlineStr">
        <is>
          <t>EBS (gp3)</t>
        </is>
      </c>
      <c r="D13" s="5" t="inlineStr">
        <is>
          <t>Qdrant storage</t>
        </is>
      </c>
      <c r="E13" s="5" t="inlineStr">
        <is>
          <t>me-central-1 (UAE)</t>
        </is>
      </c>
      <c r="F13" s="5" t="inlineStr">
        <is>
          <t>gp3 256 GB per node at $0.0968 per GB-month. Snapshots per collection go to S3 by a CronJob</t>
        </is>
      </c>
      <c r="G13" s="5" t="n">
        <v>3</v>
      </c>
      <c r="H13" s="6" t="n">
        <v>24.78</v>
      </c>
      <c r="I13" s="7">
        <f>G13*H13</f>
        <v/>
      </c>
      <c r="J13" s="7">
        <f>I13</f>
        <v/>
      </c>
    </row>
    <row r="14">
      <c r="A14" s="8" t="n"/>
      <c r="B14" s="5" t="inlineStr">
        <is>
          <t>Event broker</t>
        </is>
      </c>
      <c r="C14" s="5" t="inlineStr">
        <is>
          <t>EC2 (EKS managed node group)</t>
        </is>
      </c>
      <c r="D14" s="5" t="inlineStr">
        <is>
          <t>Broker cluster: RabbitMQ recommended, or Kafka (the client's choice; ADR-0057, proposed)</t>
        </is>
      </c>
      <c r="E14" s="5" t="inlineStr">
        <is>
          <t>me-central-1 (UAE)</t>
        </is>
      </c>
      <c r="F14" s="5" t="inlineStr">
        <is>
          <t>broker node group: m6i.large (2 vCPU, 8 GiB; the D2s v5 line), $0.1177/h, x3 across AZs, self-run with the RabbitMQ Cluster Operator, as on Azure (broker_self_hosted). Managed alternative: Amazon MQ for RabbitMQ, 3-node mq.m7g.large cluster at $1.005/h ($733.65) plus storage at $0.121 per GB-month; CloudAMQP in me-central-1 to confirm</t>
        </is>
      </c>
      <c r="G14" s="5" t="n">
        <v>3</v>
      </c>
      <c r="H14" s="6" t="n">
        <v>85.92</v>
      </c>
      <c r="I14" s="7">
        <f>G14*H14</f>
        <v/>
      </c>
      <c r="J14" s="7">
        <f>I14</f>
        <v/>
      </c>
    </row>
    <row r="15">
      <c r="A15" s="8" t="n"/>
      <c r="B15" s="5" t="inlineStr">
        <is>
          <t>Event broker</t>
        </is>
      </c>
      <c r="C15" s="5" t="inlineStr">
        <is>
          <t>EBS (gp3)</t>
        </is>
      </c>
      <c r="D15" s="5" t="inlineStr">
        <is>
          <t>Broker storage: quorum queues or Kafka logs</t>
        </is>
      </c>
      <c r="E15" s="5" t="inlineStr">
        <is>
          <t>me-central-1 (UAE)</t>
        </is>
      </c>
      <c r="F15" s="5" t="inlineStr">
        <is>
          <t>gp3 128 GB per node</t>
        </is>
      </c>
      <c r="G15" s="5" t="n">
        <v>3</v>
      </c>
      <c r="H15" s="6" t="n">
        <v>12.39</v>
      </c>
      <c r="I15" s="7">
        <f>G15*H15</f>
        <v/>
      </c>
      <c r="J15" s="7">
        <f>I15</f>
        <v/>
      </c>
    </row>
    <row r="16">
      <c r="A16" s="8" t="n"/>
      <c r="B16" s="5" t="inlineStr">
        <is>
          <t>Database</t>
        </is>
      </c>
      <c r="C16" s="5" t="inlineStr">
        <is>
          <t>Amazon RDS for PostgreSQL</t>
        </is>
      </c>
      <c r="D16" s="5" t="inlineStr">
        <is>
          <t>Primary with a Multi-AZ standby: control DB + DB per tenant</t>
        </is>
      </c>
      <c r="E16" s="5" t="inlineStr">
        <is>
          <t>me-central-1 (UAE)</t>
        </is>
      </c>
      <c r="F16" s="5" t="inlineStr">
        <is>
          <t>PostgreSQL 16, db.m6g.xlarge (4 vCPU, 16 GiB, Graviton; the D4ds v5 line), Multi-AZ DB instance (synchronous standby in another AZ, automatic failover), $0.772/h, twice the single-AZ rate. Multi-AZ on every production tier (ADR-0060). RDS, not Aurora (see the notes)</t>
        </is>
      </c>
      <c r="G16" s="5" t="n">
        <v>1</v>
      </c>
      <c r="H16" s="6" t="n">
        <v>563.5599999999999</v>
      </c>
      <c r="I16" s="7">
        <f>G16*H16</f>
        <v/>
      </c>
      <c r="J16" s="7">
        <f>I16</f>
        <v/>
      </c>
    </row>
    <row r="17">
      <c r="A17" s="8" t="n"/>
      <c r="B17" s="5" t="inlineStr">
        <is>
          <t>Database</t>
        </is>
      </c>
      <c r="C17" s="5" t="inlineStr">
        <is>
          <t>Amazon RDS for PostgreSQL</t>
        </is>
      </c>
      <c r="D17" s="5" t="inlineStr">
        <is>
          <t>Storage, primary and standby</t>
        </is>
      </c>
      <c r="E17" s="5" t="inlineStr">
        <is>
          <t>me-central-1 (UAE)</t>
        </is>
      </c>
      <c r="F17" s="5" t="inlineStr">
        <is>
          <t>gp3 256 GB Multi-AZ at $0.279 per GB-month; automated backups (PITR up to 35 days) free up to the provisioned storage, then $0.1045 per GB-month (not priced)</t>
        </is>
      </c>
      <c r="G17" s="5" t="n">
        <v>1</v>
      </c>
      <c r="H17" s="6" t="n">
        <v>71.42</v>
      </c>
      <c r="I17" s="7">
        <f>G17*H17</f>
        <v/>
      </c>
      <c r="J17" s="7">
        <f>I17</f>
        <v/>
      </c>
    </row>
    <row r="18">
      <c r="A18" s="8" t="n"/>
      <c r="B18" s="5" t="inlineStr">
        <is>
          <t>Database</t>
        </is>
      </c>
      <c r="C18" s="5" t="inlineStr">
        <is>
          <t>Amazon RDS for PostgreSQL</t>
        </is>
      </c>
      <c r="D18" s="5" t="inlineStr">
        <is>
          <t>Read replicas (operational reads; gate checks never read here)</t>
        </is>
      </c>
      <c r="E18" s="5" t="inlineStr">
        <is>
          <t>me-central-1 (UAE)</t>
        </is>
      </c>
      <c r="F18" s="5" t="inlineStr">
        <is>
          <t>db.m6g.xlarge single-AZ ($0.386/h) + gp3 256 GB ($0.14 per GB-month) each, in different AZs</t>
        </is>
      </c>
      <c r="G18" s="5" t="n">
        <v>2</v>
      </c>
      <c r="H18" s="6" t="n">
        <v>317.62</v>
      </c>
      <c r="I18" s="7">
        <f>G18*H18</f>
        <v/>
      </c>
      <c r="J18" s="7">
        <f>I18</f>
        <v/>
      </c>
    </row>
    <row r="19">
      <c r="A19" s="8" t="n"/>
      <c r="B19" s="5" t="inlineStr">
        <is>
          <t>Database</t>
        </is>
      </c>
      <c r="C19" s="5" t="inlineStr">
        <is>
          <t>Amazon RDS for PostgreSQL</t>
        </is>
      </c>
      <c r="D19" s="5" t="inlineStr">
        <is>
          <t>Reporting replica (lag-tolerant, no writes)</t>
        </is>
      </c>
      <c r="E19" s="5" t="inlineStr">
        <is>
          <t>me-central-1 (UAE)</t>
        </is>
      </c>
      <c r="F19" s="5" t="inlineStr">
        <is>
          <t>db.m6g.large (2 vCPU, 8 GiB; the D2ds v5 line), $0.193/h, + gp3 256 GB</t>
        </is>
      </c>
      <c r="G19" s="5" t="n">
        <v>1</v>
      </c>
      <c r="H19" s="6" t="n">
        <v>176.73</v>
      </c>
      <c r="I19" s="7">
        <f>G19*H19</f>
        <v/>
      </c>
      <c r="J19" s="7">
        <f>I19</f>
        <v/>
      </c>
    </row>
    <row r="20">
      <c r="A20" s="8" t="n"/>
      <c r="B20" s="5" t="inlineStr">
        <is>
          <t>Database</t>
        </is>
      </c>
      <c r="C20" s="5" t="inlineStr">
        <is>
          <t>Amazon RDS for PostgreSQL</t>
        </is>
      </c>
      <c r="D20" s="5" t="inlineStr">
        <is>
          <t>AI log database (decision records, prompts)</t>
        </is>
      </c>
      <c r="E20" s="5" t="inlineStr">
        <is>
          <t>me-central-1 (UAE)</t>
        </is>
      </c>
      <c r="F20" s="5" t="inlineStr">
        <is>
          <t>db.m6g.xlarge single-AZ + gp3 1,024 GB. A writable instance of its own (ADR-0020, amended by ADR-0049)</t>
        </is>
      </c>
      <c r="G20" s="5" t="n">
        <v>1</v>
      </c>
      <c r="H20" s="6" t="n">
        <v>425.14</v>
      </c>
      <c r="I20" s="7">
        <f>G20*H20</f>
        <v/>
      </c>
      <c r="J20" s="7">
        <f>I20</f>
        <v/>
      </c>
    </row>
    <row r="21">
      <c r="A21" s="8" t="n"/>
      <c r="B21" s="5" t="inlineStr">
        <is>
          <t>Cache</t>
        </is>
      </c>
      <c r="C21" s="5" t="inlineStr">
        <is>
          <t>Amazon ElastiCache (Valkey)</t>
        </is>
      </c>
      <c r="D21" s="5" t="inlineStr">
        <is>
          <t>Sessions, idempotency keys, per-tenant request budgets (ADR-0064), waiting-room positions (ADR-0066), the one-second browse cache (ADR-0065, proposed), AI features</t>
        </is>
      </c>
      <c r="E21" s="5" t="inlineStr">
        <is>
          <t>me-central-1 (UAE)</t>
        </is>
      </c>
      <c r="F21" s="5" t="inlineStr">
        <is>
          <t>cache.r7g.large (13.07 GiB; the B10 12 GB line), $0.2142/h, a primary and one replica in another AZ, Multi-AZ with automatic failover. Valkey is the Redis-compatible engine ElastiCache prices lowest (Redis OSS $0.2678/h)</t>
        </is>
      </c>
      <c r="G21" s="5" t="n">
        <v>2</v>
      </c>
      <c r="H21" s="6" t="n">
        <v>156.37</v>
      </c>
      <c r="I21" s="7">
        <f>G21*H21</f>
        <v/>
      </c>
      <c r="J21" s="7">
        <f>I21</f>
        <v/>
      </c>
    </row>
    <row r="22">
      <c r="A22" s="8" t="n"/>
      <c r="B22" s="5" t="inlineStr">
        <is>
          <t>Storage</t>
        </is>
      </c>
      <c r="C22" s="5" t="inlineStr">
        <is>
          <t>Amazon S3</t>
        </is>
      </c>
      <c r="D22" s="5" t="inlineStr">
        <is>
          <t>Media (including venue 3D models and navigation files, ADR-0069), exports, Qdrant snapshots, database dumps</t>
        </is>
      </c>
      <c r="E22" s="5" t="inlineStr">
        <is>
          <t>me-central-1 (UAE)</t>
        </is>
      </c>
      <c r="F22" s="5" t="inlineStr">
        <is>
          <t>S3 Standard, 2,048 GB at $0.025 per GB-month, stored across AZs (the ZRS line), me-central-1 only; requests not priced</t>
        </is>
      </c>
      <c r="G22" s="5" t="n">
        <v>1</v>
      </c>
      <c r="H22" s="6" t="n">
        <v>51.2</v>
      </c>
      <c r="I22" s="7">
        <f>G22*H22</f>
        <v/>
      </c>
      <c r="J22" s="7">
        <f>I22</f>
        <v/>
      </c>
    </row>
    <row r="23">
      <c r="A23" s="8" t="n"/>
      <c r="B23" s="5" t="inlineStr">
        <is>
          <t>Storage</t>
        </is>
      </c>
      <c r="C23" s="5" t="inlineStr">
        <is>
          <t>Amazon ECR</t>
        </is>
      </c>
      <c r="D23" s="5" t="inlineStr">
        <is>
          <t>Images for the five deployables</t>
        </is>
      </c>
      <c r="E23" s="5" t="inlineStr">
        <is>
          <t>me-central-1 (UAE)</t>
        </is>
      </c>
      <c r="F23" s="5" t="inlineStr">
        <is>
          <t>About 100 GB at $0.10 per GB-month (an assumption)</t>
        </is>
      </c>
      <c r="G23" s="5" t="n">
        <v>1</v>
      </c>
      <c r="H23" s="6" t="n">
        <v>10</v>
      </c>
      <c r="I23" s="7">
        <f>G23*H23</f>
        <v/>
      </c>
      <c r="J23" s="7">
        <f>I23</f>
        <v/>
      </c>
    </row>
    <row r="24">
      <c r="A24" s="8" t="n"/>
      <c r="B24" s="5" t="inlineStr">
        <is>
          <t>Security</t>
        </is>
      </c>
      <c r="C24" s="5" t="inlineStr">
        <is>
          <t>AWS Secrets Manager</t>
        </is>
      </c>
      <c r="D24" s="5" t="inlineStr">
        <is>
          <t>Secrets (the Qdrant API key and the waiting-room token key, each read only by its issuer)</t>
        </is>
      </c>
      <c r="E24" s="5" t="inlineStr">
        <is>
          <t>me-central-1 (UAE)</t>
        </is>
      </c>
      <c r="F24" s="5" t="inlineStr">
        <is>
          <t>About 20 secrets at $0.40 a month (an assumption); API calls $0.05 per 10,000 (not priced)</t>
        </is>
      </c>
      <c r="G24" s="5" t="n">
        <v>20</v>
      </c>
      <c r="H24" s="6" t="n">
        <v>0.4</v>
      </c>
      <c r="I24" s="7">
        <f>G24*H24</f>
        <v/>
      </c>
      <c r="J24" s="7">
        <f>I24</f>
        <v/>
      </c>
    </row>
    <row r="25">
      <c r="A25" s="8" t="n"/>
      <c r="B25" s="5" t="inlineStr">
        <is>
          <t>Security</t>
        </is>
      </c>
      <c r="C25" s="5" t="inlineStr">
        <is>
          <t>AWS KMS</t>
        </is>
      </c>
      <c r="D25" s="5" t="inlineStr">
        <is>
          <t>Platform keys and per-tenant keys (ADR-0063 wraps each tenant's data key; BYOK)</t>
        </is>
      </c>
      <c r="E25" s="5" t="inlineStr">
        <is>
          <t>me-central-1 (UAE)</t>
        </is>
      </c>
      <c r="F25" s="5" t="inlineStr">
        <is>
          <t>Customer managed keys at $1 a month; KMS keeps keys in FIPS 140-3 validated HSMs, so no premium tier is needed (Key Vault Premium on Azure). 5 platform keys budgeted; +$1 a tenant a month (about $200 at 200 tenants); BYOK by importing key material; requests $0.03 per 10,000 (not priced)</t>
        </is>
      </c>
      <c r="G25" s="5" t="n">
        <v>5</v>
      </c>
      <c r="H25" s="6" t="n">
        <v>1</v>
      </c>
      <c r="I25" s="7">
        <f>G25*H25</f>
        <v/>
      </c>
      <c r="J25" s="7">
        <f>I25</f>
        <v/>
      </c>
    </row>
    <row r="26">
      <c r="A26" s="8" t="n"/>
      <c r="B26" s="5" t="inlineStr">
        <is>
          <t>Network</t>
        </is>
      </c>
      <c r="C26" s="5" t="inlineStr">
        <is>
          <t>Amazon CloudFront</t>
        </is>
      </c>
      <c r="D26" s="5" t="inlineStr">
        <is>
          <t>Single entry for web, apps and APIs; the on-sale waiting-room page from its cache (ADR-0066)</t>
        </is>
      </c>
      <c r="E26" s="5" t="inlineStr">
        <is>
          <t>Global (edge)</t>
        </is>
      </c>
      <c r="F26" s="5" t="inlineStr">
        <is>
          <t>2,048 GB to viewers in the Middle East at $0.110/GB ($225.28) + about 50 million HTTPS requests at $0.0120 per 10,000 ($60.00). Origin fetches from the ALB are free; a VPC origin keeps the ALB private (no charge line in the price list, to confirm)</t>
        </is>
      </c>
      <c r="G26" s="5" t="n">
        <v>1</v>
      </c>
      <c r="H26" s="6" t="n">
        <v>285.28</v>
      </c>
      <c r="I26" s="7">
        <f>G26*H26</f>
        <v/>
      </c>
      <c r="J26" s="7">
        <f>2*H26</f>
        <v/>
      </c>
    </row>
    <row r="27">
      <c r="A27" s="8" t="n"/>
      <c r="B27" s="5" t="inlineStr">
        <is>
          <t>Network</t>
        </is>
      </c>
      <c r="C27" s="5" t="inlineStr">
        <is>
          <t>AWS WAF</t>
        </is>
      </c>
      <c r="D27" s="5" t="inlineStr">
        <is>
          <t>WAF on CloudFront: OWASP and bot rules, rate rules per client IP</t>
        </is>
      </c>
      <c r="E27" s="5" t="inlineStr">
        <is>
          <t>Global (edge)</t>
        </is>
      </c>
      <c r="F27" s="5" t="inlineStr">
        <is>
          <t>Web ACL $5 + about 8 rules and managed rule groups (AWS managed core rule set for OWASP, rate-based rules per client IP) at $1 ($8.00) + 50 million requests at $0.60 per million ($30.00) + Bot Control (common) $10 + 40 million requests beyond the first 10 million at $1 per million ($40.00). A CloudFront web ACL is global: the me-central-1 rates, to confirm on the bill</t>
        </is>
      </c>
      <c r="G27" s="5" t="n">
        <v>1</v>
      </c>
      <c r="H27" s="6" t="n">
        <v>93</v>
      </c>
      <c r="I27" s="7">
        <f>G27*H27</f>
        <v/>
      </c>
      <c r="J27" s="7">
        <f>2*H27</f>
        <v/>
      </c>
    </row>
    <row r="28">
      <c r="A28" s="8" t="n"/>
      <c r="B28" s="5" t="inlineStr">
        <is>
          <t>Network</t>
        </is>
      </c>
      <c r="C28" s="5" t="inlineStr">
        <is>
          <t>Elastic Load Balancing (ALB)</t>
        </is>
      </c>
      <c r="D28" s="5" t="inlineStr">
        <is>
          <t>Ingress: an internal Application Load Balancer, CloudFront's VPC origin (the internal LB and Private Link line)</t>
        </is>
      </c>
      <c r="E28" s="5" t="inlineStr">
        <is>
          <t>me-central-1 (UAE)</t>
        </is>
      </c>
      <c r="F28" s="5" t="inlineStr">
        <is>
          <t>$0.028224/h ($20.60) + about 2 LCU on average at $0.00896 per LCU-hour ($13.08, an assumption). AWS Load Balancer Controller on the system node group</t>
        </is>
      </c>
      <c r="G28" s="5" t="n">
        <v>1</v>
      </c>
      <c r="H28" s="6" t="n">
        <v>33.68</v>
      </c>
      <c r="I28" s="7">
        <f>G28*H28</f>
        <v/>
      </c>
      <c r="J28" s="7">
        <f>2*H28</f>
        <v/>
      </c>
    </row>
    <row r="29">
      <c r="A29" s="8" t="n"/>
      <c r="B29" s="5" t="inlineStr">
        <is>
          <t>Network</t>
        </is>
      </c>
      <c r="C29" s="5" t="inlineStr">
        <is>
          <t>NAT Gateway</t>
        </is>
      </c>
      <c r="D29" s="5" t="inlineStr">
        <is>
          <t>Static egress IPs for payment, e-invoicing and messaging allow-lists</t>
        </is>
      </c>
      <c r="E29" s="5" t="inlineStr">
        <is>
          <t>me-central-1 (UAE)</t>
        </is>
      </c>
      <c r="F29" s="5" t="inlineStr">
        <is>
          <t>3 zonal NAT Gateways, one per AZ at $0.0528/h ($115.63) + 1 TB processed at $0.0528/GB ($54.07) + 3 Elastic IPs at $0.005/h ($10.95). Three IPs to allow-list, not one; a Regional NAT Gateway (same hourly rate) may present fewer, to confirm</t>
        </is>
      </c>
      <c r="G29" s="5" t="n">
        <v>1</v>
      </c>
      <c r="H29" s="6" t="n">
        <v>180.65</v>
      </c>
      <c r="I29" s="7">
        <f>G29*H29</f>
        <v/>
      </c>
      <c r="J29" s="7">
        <f>I29</f>
        <v/>
      </c>
    </row>
    <row r="30">
      <c r="A30" s="8" t="n"/>
      <c r="B30" s="5" t="inlineStr">
        <is>
          <t>Network</t>
        </is>
      </c>
      <c r="C30" s="5" t="inlineStr">
        <is>
          <t>Systems Manager Session Manager</t>
        </is>
      </c>
      <c r="D30" s="5" t="inlineStr">
        <is>
          <t>Administrative access only (the Azure Bastion line)</t>
        </is>
      </c>
      <c r="E30" s="5" t="inlineStr">
        <is>
          <t>me-central-1 (UAE)</t>
        </is>
      </c>
      <c r="F30" s="5" t="inlineStr">
        <is>
          <t>No charge line in the me-central-1 Systems Manager price list (11 September), to confirm; no inbound port, no SSH keys; sessions logged to CloudWatch</t>
        </is>
      </c>
      <c r="G30" s="5" t="n">
        <v>1</v>
      </c>
      <c r="H30" s="6" t="n">
        <v>0</v>
      </c>
      <c r="I30" s="7">
        <f>G30*H30</f>
        <v/>
      </c>
      <c r="J30" s="7">
        <f>I30</f>
        <v/>
      </c>
    </row>
    <row r="31">
      <c r="A31" s="8" t="n"/>
      <c r="B31" s="5" t="inlineStr">
        <is>
          <t>Network</t>
        </is>
      </c>
      <c r="C31" s="5" t="inlineStr">
        <is>
          <t>AWS PrivateLink (VPC endpoints)</t>
        </is>
      </c>
      <c r="D31" s="5" t="inlineStr">
        <is>
          <t>Private endpoints and private DNS (the Private Link line)</t>
        </is>
      </c>
      <c r="E31" s="5" t="inlineStr">
        <is>
          <t>me-central-1 (UAE)</t>
        </is>
      </c>
      <c r="F31" s="5" t="inlineStr">
        <is>
          <t>6 interface endpoints (ECR api and dkr, Secrets Manager, KMS, STS, CloudWatch Logs) x 3 AZs at $0.0121/h ($158.99) + about 100 GB processed at $0.01/GB ($1.00); S3 through a gateway endpoint (free); Route 53 private hosted zones</t>
        </is>
      </c>
      <c r="G31" s="5" t="n">
        <v>1</v>
      </c>
      <c r="H31" s="6" t="n">
        <v>159.99</v>
      </c>
      <c r="I31" s="7">
        <f>G31*H31</f>
        <v/>
      </c>
      <c r="J31" s="7">
        <f>I31</f>
        <v/>
      </c>
    </row>
    <row r="32">
      <c r="A32" s="8" t="n"/>
      <c r="B32" s="5" t="inlineStr">
        <is>
          <t>Network</t>
        </is>
      </c>
      <c r="C32" s="5" t="inlineStr">
        <is>
          <t>Data transfer out</t>
        </is>
      </c>
      <c r="D32" s="5" t="inlineStr">
        <is>
          <t>Egress through the NAT Gateways to providers</t>
        </is>
      </c>
      <c r="E32" s="5" t="inlineStr">
        <is>
          <t>me-central-1 (UAE)</t>
        </is>
      </c>
      <c r="F32" s="5" t="inlineStr">
        <is>
          <t>About 200 GB a month: the first 100 GB free, then $0.117/GB ($11.70). The ALB-to-CloudFront traffic is free; the web traffic is in the CloudFront line</t>
        </is>
      </c>
      <c r="G32" s="5" t="n">
        <v>1</v>
      </c>
      <c r="H32" s="6" t="n">
        <v>11.7</v>
      </c>
      <c r="I32" s="7">
        <f>G32*H32</f>
        <v/>
      </c>
      <c r="J32" s="7">
        <f>2*H32</f>
        <v/>
      </c>
    </row>
    <row r="33">
      <c r="A33" s="8" t="n"/>
      <c r="B33" s="5" t="inlineStr">
        <is>
          <t>Operations</t>
        </is>
      </c>
      <c r="C33" s="5" t="inlineStr">
        <is>
          <t>Amazon CloudWatch</t>
        </is>
      </c>
      <c r="D33" s="5" t="inlineStr">
        <is>
          <t>Logs, metrics, alerts, dashboards</t>
        </is>
      </c>
      <c r="E33" s="5" t="inlineStr">
        <is>
          <t>me-central-1 (UAE)</t>
        </is>
      </c>
      <c r="F33" s="5" t="inlineStr">
        <is>
          <t>About 60 GB of logs ingested at $0.63/GB ($37.80), stored at $0.033 per GB-month ($1.98 in the first month, growing with retention), about 200 custom metrics at $0.30 ($60.00)</t>
        </is>
      </c>
      <c r="G33" s="5" t="n">
        <v>1</v>
      </c>
      <c r="H33" s="6" t="n">
        <v>99.78</v>
      </c>
      <c r="I33" s="7">
        <f>G33*H33</f>
        <v/>
      </c>
      <c r="J33" s="7">
        <f>I33</f>
        <v/>
      </c>
    </row>
    <row r="34">
      <c r="A34" s="8" t="n"/>
      <c r="B34" s="5" t="inlineStr">
        <is>
          <t>Operations</t>
        </is>
      </c>
      <c r="C34" s="5" t="inlineStr">
        <is>
          <t>AWS Backup</t>
        </is>
      </c>
      <c r="D34" s="5" t="inlineStr">
        <is>
          <t>Snapshots of the Qdrant and broker volumes</t>
        </is>
      </c>
      <c r="E34" s="5" t="inlineStr">
        <is>
          <t>me-central-1 (UAE)</t>
        </is>
      </c>
      <c r="F34" s="5" t="inlineStr">
        <is>
          <t>Daily EBS snapshots, 30 days, in me-central-1: about 500 GB of incremental snapshot storage at $0.055 per GB-month (an assumption)</t>
        </is>
      </c>
      <c r="G34" s="5" t="n">
        <v>1</v>
      </c>
      <c r="H34" s="6" t="n">
        <v>27.5</v>
      </c>
      <c r="I34" s="7">
        <f>G34*H34</f>
        <v/>
      </c>
      <c r="J34" s="7">
        <f>I34</f>
        <v/>
      </c>
    </row>
    <row r="35">
      <c r="A35" s="8" t="n"/>
      <c r="B35" s="5" t="inlineStr">
        <is>
          <t>Operations</t>
        </is>
      </c>
      <c r="C35" s="5" t="inlineStr">
        <is>
          <t>GuardDuty, Inspector, Security Hub</t>
        </is>
      </c>
      <c r="D35" s="5" t="inlineStr">
        <is>
          <t>Threat detection for EKS, RDS and the account, node scanning, posture (the Defender for Cloud line)</t>
        </is>
      </c>
      <c r="E35" s="5" t="inlineStr">
        <is>
          <t>me-central-1 (UAE)</t>
        </is>
      </c>
      <c r="F35" s="5" t="inlineStr">
        <is>
          <t>GuardDuty EKS Runtime Monitoring 70 vCPU x $1.58 ($110.60); RDS Protection 18 vCPU x $1.03 ($18.54); VPC flow and DNS logs about 20 GB x $1.25 ($25.00) and about 2 million CloudTrail events ($10.00); Inspector 14 instances x 730 h x $0.0021 ($21.46); Security Hub Essentials 14 instances x 730 h x $0.0056944 ($58.20). Volumes are assumptions</t>
        </is>
      </c>
      <c r="G35" s="5" t="n">
        <v>1</v>
      </c>
      <c r="H35" s="6" t="n">
        <v>243.8</v>
      </c>
      <c r="I35" s="7">
        <f>G35*H35</f>
        <v/>
      </c>
      <c r="J35" s="7">
        <f>I35</f>
        <v/>
      </c>
    </row>
    <row r="36">
      <c r="A36" s="9" t="n"/>
      <c r="B36" s="5" t="inlineStr">
        <is>
          <t>AI (usage)</t>
        </is>
      </c>
      <c r="C36" s="5" t="inlineStr">
        <is>
          <t>LLM providers</t>
        </is>
      </c>
      <c r="D36" s="5" t="inlineStr">
        <is>
          <t>Language model calls (re-billed per token, AI-D02)</t>
        </is>
      </c>
      <c r="E36" s="5" t="inlineStr">
        <is>
          <t>me-central-1 (UAE)</t>
        </is>
      </c>
      <c r="F36" s="5" t="inlineStr">
        <is>
          <t>Usage-based; not a fixed hosting cost</t>
        </is>
      </c>
      <c r="G36" s="5" t="n">
        <v>1</v>
      </c>
      <c r="H36" s="6" t="n">
        <v>0</v>
      </c>
      <c r="I36" s="7">
        <f>G36*H36</f>
        <v/>
      </c>
      <c r="J36" s="7">
        <f>I36</f>
        <v/>
      </c>
    </row>
    <row r="37">
      <c r="F37" s="10" t="inlineStr">
        <is>
          <t>USD - Total cost per month</t>
        </is>
      </c>
      <c r="I37" s="11">
        <f>SUM(I7:I36)</f>
        <v/>
      </c>
      <c r="J37" s="14">
        <f>SUM(J7:J36)</f>
        <v/>
      </c>
    </row>
    <row r="38">
      <c r="F38" s="10" t="inlineStr">
        <is>
          <t>AED - Total cost per month</t>
        </is>
      </c>
      <c r="I38" s="11">
        <f>I37*$C$3</f>
        <v/>
      </c>
      <c r="J38" s="14">
        <f>J37*$C$3</f>
        <v/>
      </c>
    </row>
    <row r="39">
      <c r="F39" s="10" t="inlineStr">
        <is>
          <t>AED - Total cost per year</t>
        </is>
      </c>
      <c r="I39" s="11">
        <f>I38*12</f>
        <v/>
      </c>
    </row>
    <row r="40">
      <c r="F40" s="10" t="inlineStr">
        <is>
          <t>AED - Total price per year with margin</t>
        </is>
      </c>
      <c r="I40" s="11">
        <f>I39*(1+$C$4)</f>
        <v/>
      </c>
    </row>
    <row r="42">
      <c r="B42" s="12" t="inlineStr">
        <is>
          <t>Notes - Production</t>
        </is>
      </c>
    </row>
    <row r="43" ht="32" customHeight="1">
      <c r="B43" s="13" t="inlineStr">
        <is>
          <t>Prices: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 Savings Plans or reserved instances (1 or 3 years) lower compute by roughly 30-60%; confirm each line in the AWS Pricing Calculator for me-central-1 before quoting.</t>
        </is>
      </c>
    </row>
    <row r="44" ht="32" customHeight="1">
      <c r="B44" s="13" t="inlineStr">
        <is>
          <t>The same cell as the Azure sheets, service for service (the AWS LLD, TICVAI-LLD-AWS.md, has the mapping): the same five node groups and ADR-0061 floors, the same stores, the same entry. Region me-central-1 (Middle East, UAE), three AZs; every store stays in the UAE.</t>
        </is>
      </c>
    </row>
    <row r="45" ht="32" customHeight="1">
      <c r="B45" s="13" t="inlineStr">
        <is>
          <t>Database: RDS for PostgreSQL 16 (Multi-AZ DB instance), not Aurora PostgreSQL. Like for like, RDS costs less: the primary with its standby is $563.56 (db.m6g.xlarge Multi-AZ) and the two read replicas and the reporting replica $704.45, $1,268.01 of instances in all; Aurora PostgreSQL lists no general-purpose (db.m) class in me-central-1, only r and t, so the same shape is a db.r6g.xlarge writer and two readers (one is the failover target, so it doubles as a replica) plus a db.r6g.large reporting reader, $1,601.62, before Aurora's $0.242 per million I/O requests (a volume nobody knows until the load test). RDS also matches the Azure design one for one (Flexible Server: a standby that does not serve reads, separate replicas), so the Terraform module, the runbooks and ADR-0060 carry over. Aurora's case is a faster failover (about 30 seconds against one to two minutes) and up to 15 readers; revisit it if the commerce target (99.95%) needs that.</t>
        </is>
      </c>
    </row>
    <row r="46" ht="32" customHeight="1">
      <c r="B46" s="13" t="inlineStr">
        <is>
          <t>AI GPU node: g6.2xlarge (8 vCPU, 32 GiB, one NVIDIA L4 with 24 GB) at $1.20043 an hour, $876.31 a month a node: g6 is offered in me-central-1 (the EC2 offer file of 25 September lists g6.xlarge to g6.48xlarge). g6.xlarge ($721.42) has 4 vCPU, too few for three AI pods at about 1 vCPU each beside Presidio and the node's own daemons; g5.xlarge ($900.82, A10G) costs more and also has 4 vCPU; g5.2xlarge is $1,085.28. The L4's 24 GB is six times the 4 GB of Azure's NV6ads A10 v5 slice, so the GPU-memory step-up Azure keeps in reserve (NV12ads) is not needed on AWS; the AWS node costs $402.54 a month more than Azure's. Whether each of the three AZs has g6 capacity is to confirm before the HA node group is built.</t>
        </is>
      </c>
    </row>
    <row r="47" ht="32" customHeight="1">
      <c r="B47" s="13" t="inlineStr">
        <is>
          <t>Disaster recovery on AWS is open (CHG-R3-001): AWS has one UAE region. The options (in-region backups only; Bahrain, which breaks UAE residency; another provider or on premises in the UAE) are in TICVAI-LLD-AWS.md. No DR cost is on these sheets.</t>
        </is>
      </c>
    </row>
    <row r="48" ht="32" customHeight="1">
      <c r="B48" s="13" t="inlineStr">
        <is>
          <t>The broker matches the Azure choice: self-run on its own node group (the fallback the Terraform builds) until the client picks (ADR-0057, due 12 October). Amazon MQ for RabbitMQ is AWS's managed option (3 x mq.m7g.large, $733.65 a month plus storage); CloudAMQP's availability in me-central-1 is to confirm.</t>
        </is>
      </c>
    </row>
    <row r="49" ht="32" customHeight="1">
      <c r="B49" s="13" t="inlineStr">
        <is>
          <t>Differences that move the total: EKS has no free tier ($73 for every cluster, pre-production included); the NAT Gateway is zonal, so HA means three gateways and three egress IPs for the providers to allow-list; every EC2 node carries an EBS root volume; the AWS GPU node (a whole L4, 24 GB) costs more than Azure's A10 slice; the edge (CloudFront + WAF) and the security tooling (GuardDuty, Inspector, Security Hub) cost less than Front Door Premium and Defender for Cloud at these volumes.</t>
        </is>
      </c>
    </row>
    <row r="50" ht="32" customHeight="1">
      <c r="B50" s="13" t="inlineStr">
        <is>
          <t>Not included: LLM tokens, SMS, email and WhatsApp fees, payment provider fees, the e-invoicing provider, DR (open), Apple and Google developer accounts, venue hardware, AWS Support plans (Business support is a percentage of the bill).</t>
        </is>
      </c>
    </row>
    <row r="51" ht="32" customHeight="1">
      <c r="B51" s="13" t="inlineStr">
        <is>
          <t>To confirm (the price list does not settle them): 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row>
    <row r="52" ht="32" customHeight="1">
      <c r="B52" s="13" t="inlineStr">
        <is>
          <t>AZs a-c in me-central-1: the PostgreSQL Multi-AZ standby (every production tier, ADR-0060), the Qdrant and broker three-node clusters, the EKS node groups across AZs, ElastiCache with a replica in another AZ, a NAT Gateway in each AZ. The shape of a shared cell and of a dedicated one.</t>
        </is>
      </c>
    </row>
    <row r="53" ht="32" customHeight="1">
      <c r="B53" s="13" t="inlineStr">
        <is>
          <t>Availability targets per tier are the Azure sheet's (ADR-0060, proposed, with the client).</t>
        </is>
      </c>
    </row>
    <row r="56">
      <c r="A56" s="3" t="inlineStr">
        <is>
          <t>Environment</t>
        </is>
      </c>
      <c r="B56" s="3" t="inlineStr">
        <is>
          <t>Group</t>
        </is>
      </c>
      <c r="C56" s="3" t="inlineStr">
        <is>
          <t>AWS service type</t>
        </is>
      </c>
      <c r="D56" s="3" t="inlineStr">
        <is>
          <t>Service description</t>
        </is>
      </c>
      <c r="E56" s="3" t="inlineStr">
        <is>
          <t>Region</t>
        </is>
      </c>
      <c r="F56" s="3" t="inlineStr">
        <is>
          <t>Specs description</t>
        </is>
      </c>
      <c r="G56" s="3" t="inlineStr">
        <is>
          <t>Qty</t>
        </is>
      </c>
      <c r="H56" s="3" t="inlineStr">
        <is>
          <t>Unit price (USD / month)</t>
        </is>
      </c>
      <c r="I56" s="3" t="inlineStr">
        <is>
          <t>Estimated monthly cost (USD)</t>
        </is>
      </c>
      <c r="J56" s="3" t="inlineStr">
        <is>
          <t>When solution is scaled up (USD)</t>
        </is>
      </c>
    </row>
    <row r="57">
      <c r="A57" s="4" t="inlineStr">
        <is>
          <t>Pre-production</t>
        </is>
      </c>
      <c r="B57" s="5" t="inlineStr">
        <is>
          <t>Compute (EKS)</t>
        </is>
      </c>
      <c r="C57" s="5" t="inlineStr">
        <is>
          <t>Amazon EKS</t>
        </is>
      </c>
      <c r="D57" s="5" t="inlineStr">
        <is>
          <t>Control plane</t>
        </is>
      </c>
      <c r="E57" s="5" t="inlineStr">
        <is>
          <t>me-central-1 (UAE)</t>
        </is>
      </c>
      <c r="F57" s="5" t="inlineStr">
        <is>
          <t>$0.10/h: EKS has no free tier (AKS Free on Azure); a namespace on the production cluster would save it</t>
        </is>
      </c>
      <c r="G57" s="5" t="n">
        <v>1</v>
      </c>
      <c r="H57" s="6" t="n">
        <v>73</v>
      </c>
      <c r="I57" s="7">
        <f>G57*H57</f>
        <v/>
      </c>
      <c r="J57" s="7">
        <f>I57</f>
        <v/>
      </c>
    </row>
    <row r="58">
      <c r="A58" s="8" t="n"/>
      <c r="B58" s="5" t="inlineStr">
        <is>
          <t>Compute (EKS)</t>
        </is>
      </c>
      <c r="C58" s="5" t="inlineStr">
        <is>
          <t>EC2 (EKS managed node group)</t>
        </is>
      </c>
      <c r="D58" s="5" t="inlineStr">
        <is>
          <t>System and workload nodes, all five deployables</t>
        </is>
      </c>
      <c r="E58" s="5" t="inlineStr">
        <is>
          <t>me-central-1 (UAE)</t>
        </is>
      </c>
      <c r="F58" s="5" t="inlineStr">
        <is>
          <t>m6i.2xlarge (8 vCPU, 32 GiB) x2 + m6i.xlarge x1, Linux. One replica per unit: the ADR-0061 floors are for production cells</t>
        </is>
      </c>
      <c r="G58" s="5" t="n">
        <v>1</v>
      </c>
      <c r="H58" s="6" t="n">
        <v>859.21</v>
      </c>
      <c r="I58" s="7">
        <f>G58*H58</f>
        <v/>
      </c>
      <c r="J58" s="7">
        <f>I58</f>
        <v/>
      </c>
    </row>
    <row r="59">
      <c r="A59" s="8" t="n"/>
      <c r="B59" s="5" t="inlineStr">
        <is>
          <t>Compute (EKS)</t>
        </is>
      </c>
      <c r="C59" s="5" t="inlineStr">
        <is>
          <t>EBS (gp3)</t>
        </is>
      </c>
      <c r="D59" s="5" t="inlineStr">
        <is>
          <t>Node root volumes</t>
        </is>
      </c>
      <c r="E59" s="5" t="inlineStr">
        <is>
          <t>me-central-1 (UAE)</t>
        </is>
      </c>
      <c r="F59" s="5" t="inlineStr">
        <is>
          <t>gp3 80 GB per node at $0.0968 per GB-month ($7.74 a node), 3 nodes. The Azure sheets carry no OS-disk line</t>
        </is>
      </c>
      <c r="G59" s="5" t="n">
        <v>3</v>
      </c>
      <c r="H59" s="6" t="n">
        <v>7.74</v>
      </c>
      <c r="I59" s="7">
        <f>G59*H59</f>
        <v/>
      </c>
      <c r="J59" s="7">
        <f>I59</f>
        <v/>
      </c>
    </row>
    <row r="60">
      <c r="A60" s="8" t="n"/>
      <c r="B60" s="5" t="inlineStr">
        <is>
          <t>Vector store</t>
        </is>
      </c>
      <c r="C60" s="5" t="inlineStr">
        <is>
          <t>EC2 (EKS managed node group)</t>
        </is>
      </c>
      <c r="D60" s="5" t="inlineStr">
        <is>
          <t>Qdrant, single node</t>
        </is>
      </c>
      <c r="E60" s="5" t="inlineStr">
        <is>
          <t>me-central-1 (UAE)</t>
        </is>
      </c>
      <c r="F60" s="5" t="inlineStr">
        <is>
          <t>r6i.large (2 vCPU, 16 GiB; the E2s v5 line) + gp3 128 GB</t>
        </is>
      </c>
      <c r="G60" s="5" t="n">
        <v>1</v>
      </c>
      <c r="H60" s="6" t="n">
        <v>125.61</v>
      </c>
      <c r="I60" s="7">
        <f>G60*H60</f>
        <v/>
      </c>
      <c r="J60" s="7">
        <f>I60</f>
        <v/>
      </c>
    </row>
    <row r="61">
      <c r="A61" s="8" t="n"/>
      <c r="B61" s="5" t="inlineStr">
        <is>
          <t>Event broker</t>
        </is>
      </c>
      <c r="C61" s="5" t="inlineStr">
        <is>
          <t>EC2 (EKS managed node group)</t>
        </is>
      </c>
      <c r="D61" s="5" t="inlineStr">
        <is>
          <t>RabbitMQ, single node, whichever broker production uses</t>
        </is>
      </c>
      <c r="E61" s="5" t="inlineStr">
        <is>
          <t>me-central-1 (UAE)</t>
        </is>
      </c>
      <c r="F61" s="5" t="inlineStr">
        <is>
          <t>m6i.large (2 vCPU, 8 GiB)</t>
        </is>
      </c>
      <c r="G61" s="5" t="n">
        <v>1</v>
      </c>
      <c r="H61" s="6" t="n">
        <v>85.92</v>
      </c>
      <c r="I61" s="7">
        <f>G61*H61</f>
        <v/>
      </c>
      <c r="J61" s="7">
        <f>I61</f>
        <v/>
      </c>
    </row>
    <row r="62">
      <c r="A62" s="8" t="n"/>
      <c r="B62" s="5" t="inlineStr">
        <is>
          <t>Event broker</t>
        </is>
      </c>
      <c r="C62" s="5" t="inlineStr">
        <is>
          <t>EBS (gp3)</t>
        </is>
      </c>
      <c r="D62" s="5" t="inlineStr">
        <is>
          <t>Broker storage</t>
        </is>
      </c>
      <c r="E62" s="5" t="inlineStr">
        <is>
          <t>me-central-1 (UAE)</t>
        </is>
      </c>
      <c r="F62" s="5" t="inlineStr">
        <is>
          <t>gp3 128 GB</t>
        </is>
      </c>
      <c r="G62" s="5" t="n">
        <v>1</v>
      </c>
      <c r="H62" s="6" t="n">
        <v>12.39</v>
      </c>
      <c r="I62" s="7">
        <f>G62*H62</f>
        <v/>
      </c>
      <c r="J62" s="7">
        <f>I62</f>
        <v/>
      </c>
    </row>
    <row r="63">
      <c r="A63" s="8" t="n"/>
      <c r="B63" s="5" t="inlineStr">
        <is>
          <t>Database</t>
        </is>
      </c>
      <c r="C63" s="5" t="inlineStr">
        <is>
          <t>Amazon RDS for PostgreSQL</t>
        </is>
      </c>
      <c r="D63" s="5" t="inlineStr">
        <is>
          <t>Control DB + test tenant DBs + AI log DB</t>
        </is>
      </c>
      <c r="E63" s="5" t="inlineStr">
        <is>
          <t>me-central-1 (UAE)</t>
        </is>
      </c>
      <c r="F63" s="5" t="inlineStr">
        <is>
          <t>PostgreSQL 16, db.m6g.large single-AZ + gp3 256 GB, no standby (pre-production only), no replicas</t>
        </is>
      </c>
      <c r="G63" s="5" t="n">
        <v>1</v>
      </c>
      <c r="H63" s="6" t="n">
        <v>176.73</v>
      </c>
      <c r="I63" s="7">
        <f>G63*H63</f>
        <v/>
      </c>
      <c r="J63" s="7">
        <f>I63</f>
        <v/>
      </c>
    </row>
    <row r="64">
      <c r="A64" s="8" t="n"/>
      <c r="B64" s="5" t="inlineStr">
        <is>
          <t>Cache</t>
        </is>
      </c>
      <c r="C64" s="5" t="inlineStr">
        <is>
          <t>Amazon ElastiCache (Valkey)</t>
        </is>
      </c>
      <c r="D64" s="5" t="inlineStr">
        <is>
          <t>Test cache</t>
        </is>
      </c>
      <c r="E64" s="5" t="inlineStr">
        <is>
          <t>me-central-1 (UAE)</t>
        </is>
      </c>
      <c r="F64" s="5" t="inlineStr">
        <is>
          <t>cache.m7g.large (6.38 GiB), one node, $0.153/h (no smaller Valkey node is listed for me-central-1)</t>
        </is>
      </c>
      <c r="G64" s="5" t="n">
        <v>1</v>
      </c>
      <c r="H64" s="6" t="n">
        <v>111.69</v>
      </c>
      <c r="I64" s="7">
        <f>G64*H64</f>
        <v/>
      </c>
      <c r="J64" s="7">
        <f>I64</f>
        <v/>
      </c>
    </row>
    <row r="65">
      <c r="A65" s="8" t="n"/>
      <c r="B65" s="5" t="inlineStr">
        <is>
          <t>Storage</t>
        </is>
      </c>
      <c r="C65" s="5" t="inlineStr">
        <is>
          <t>Amazon S3</t>
        </is>
      </c>
      <c r="D65" s="5" t="inlineStr">
        <is>
          <t>Test media and snapshots</t>
        </is>
      </c>
      <c r="E65" s="5" t="inlineStr">
        <is>
          <t>me-central-1 (UAE)</t>
        </is>
      </c>
      <c r="F65" s="5" t="inlineStr">
        <is>
          <t>S3 Standard, 500 GB</t>
        </is>
      </c>
      <c r="G65" s="5" t="n">
        <v>1</v>
      </c>
      <c r="H65" s="6" t="n">
        <v>12.5</v>
      </c>
      <c r="I65" s="7">
        <f>G65*H65</f>
        <v/>
      </c>
      <c r="J65" s="7">
        <f>I65</f>
        <v/>
      </c>
    </row>
    <row r="66">
      <c r="A66" s="8" t="n"/>
      <c r="B66" s="5" t="inlineStr">
        <is>
          <t>Security</t>
        </is>
      </c>
      <c r="C66" s="5" t="inlineStr">
        <is>
          <t>AWS Secrets Manager</t>
        </is>
      </c>
      <c r="D66" s="5" t="inlineStr">
        <is>
          <t>Test secrets</t>
        </is>
      </c>
      <c r="E66" s="5" t="inlineStr">
        <is>
          <t>me-central-1 (UAE)</t>
        </is>
      </c>
      <c r="F66" s="5" t="inlineStr">
        <is>
          <t>About 5 secrets at $0.40</t>
        </is>
      </c>
      <c r="G66" s="5" t="n">
        <v>5</v>
      </c>
      <c r="H66" s="6" t="n">
        <v>0.4</v>
      </c>
      <c r="I66" s="7">
        <f>G66*H66</f>
        <v/>
      </c>
      <c r="J66" s="7">
        <f>I66</f>
        <v/>
      </c>
    </row>
    <row r="67">
      <c r="A67" s="8" t="n"/>
      <c r="B67" s="5" t="inlineStr">
        <is>
          <t>Network</t>
        </is>
      </c>
      <c r="C67" s="5" t="inlineStr">
        <is>
          <t>CloudFront, WAF, ALB, NAT, ECR</t>
        </is>
      </c>
      <c r="D67" s="5" t="inlineStr">
        <is>
          <t>Shared with production</t>
        </is>
      </c>
      <c r="E67" s="5" t="inlineStr">
        <is>
          <t>me-central-1 (UAE)</t>
        </is>
      </c>
      <c r="F67" s="5" t="inlineStr">
        <is>
          <t>Separate behaviours and web ACL rules</t>
        </is>
      </c>
      <c r="G67" s="5" t="n">
        <v>1</v>
      </c>
      <c r="H67" s="6" t="n">
        <v>0</v>
      </c>
      <c r="I67" s="7">
        <f>G67*H67</f>
        <v/>
      </c>
      <c r="J67" s="7">
        <f>I67</f>
        <v/>
      </c>
    </row>
    <row r="68">
      <c r="A68" s="9" t="n"/>
      <c r="B68" s="5" t="inlineStr">
        <is>
          <t>Operations</t>
        </is>
      </c>
      <c r="C68" s="5" t="inlineStr">
        <is>
          <t>Amazon CloudWatch</t>
        </is>
      </c>
      <c r="D68" s="5" t="inlineStr">
        <is>
          <t>Logs and metrics</t>
        </is>
      </c>
      <c r="E68" s="5" t="inlineStr">
        <is>
          <t>me-central-1 (UAE)</t>
        </is>
      </c>
      <c r="F68" s="5" t="inlineStr">
        <is>
          <t>About 20 GB of logs ingested at $0.63/GB ($12.60), stored at $0.033 per GB-month ($0.66 in the first month, growing with retention), about 50 custom metrics at $0.30 ($15.00)</t>
        </is>
      </c>
      <c r="G68" s="5" t="n">
        <v>1</v>
      </c>
      <c r="H68" s="6" t="n">
        <v>28.26</v>
      </c>
      <c r="I68" s="7">
        <f>G68*H68</f>
        <v/>
      </c>
      <c r="J68" s="7">
        <f>I68</f>
        <v/>
      </c>
    </row>
    <row r="69">
      <c r="F69" s="10" t="inlineStr">
        <is>
          <t>USD - Total cost per month</t>
        </is>
      </c>
      <c r="I69" s="11">
        <f>SUM(I57:I68)</f>
        <v/>
      </c>
      <c r="J69" s="14">
        <f>SUM(J57:J68)</f>
        <v/>
      </c>
    </row>
    <row r="70">
      <c r="F70" s="10" t="inlineStr">
        <is>
          <t>AED - Total cost per month</t>
        </is>
      </c>
      <c r="I70" s="11">
        <f>I69*$C$3</f>
        <v/>
      </c>
      <c r="J70" s="14">
        <f>J69*$C$3</f>
        <v/>
      </c>
    </row>
    <row r="71">
      <c r="F71" s="10" t="inlineStr">
        <is>
          <t>AED - Total cost per year</t>
        </is>
      </c>
      <c r="I71" s="11">
        <f>I70*12</f>
        <v/>
      </c>
    </row>
    <row r="72">
      <c r="F72" s="10" t="inlineStr">
        <is>
          <t>AED - Total price per year with margin</t>
        </is>
      </c>
      <c r="I72" s="11">
        <f>I71*(1+$C$4)</f>
        <v/>
      </c>
    </row>
    <row r="74">
      <c r="B74" s="12" t="inlineStr">
        <is>
          <t>Notes - Pre-production</t>
        </is>
      </c>
    </row>
    <row r="75" ht="32" customHeight="1">
      <c r="B75" s="13" t="inlineStr">
        <is>
          <t>One pre-production environment for acceptance testing and client demos; development runs locally on docker-compose (deploy/*.yml) and on this cluster.</t>
        </is>
      </c>
    </row>
    <row r="76" ht="32" customHeight="1">
      <c r="B76" s="13" t="inlineStr">
        <is>
          <t>Zero-priced lines are covered by production.</t>
        </is>
      </c>
    </row>
  </sheetData>
  <mergeCells count="15">
    <mergeCell ref="A57:A68"/>
    <mergeCell ref="B52:I52"/>
    <mergeCell ref="B44:I44"/>
    <mergeCell ref="B48:I48"/>
    <mergeCell ref="B53:I53"/>
    <mergeCell ref="B75:I75"/>
    <mergeCell ref="B47:I47"/>
    <mergeCell ref="B51:I51"/>
    <mergeCell ref="A7:A36"/>
    <mergeCell ref="B76:I76"/>
    <mergeCell ref="B45:I45"/>
    <mergeCell ref="B46:I46"/>
    <mergeCell ref="B49:I49"/>
    <mergeCell ref="B50:I50"/>
    <mergeCell ref="B43:I4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8" customWidth="1" min="1" max="1"/>
    <col width="70" customWidth="1" min="2" max="2"/>
    <col width="60" customWidth="1" min="3" max="3"/>
    <col width="34" customWidth="1" min="4" max="4"/>
    <col width="40" customWidth="1" min="5" max="5"/>
  </cols>
  <sheetData>
    <row r="1">
      <c r="A1" s="15" t="inlineStr">
        <is>
          <t>Deployable</t>
        </is>
      </c>
      <c r="B1" s="15" t="inlineStr">
        <is>
          <t>What it is</t>
        </is>
      </c>
      <c r="C1" s="15" t="inlineStr">
        <is>
          <t>Modules</t>
        </is>
      </c>
      <c r="D1" s="15" t="inlineStr">
        <is>
          <t>Runs on</t>
        </is>
      </c>
      <c r="E1" s="15" t="inlineStr">
        <is>
          <t>Replica floor (ADR-0061)</t>
        </is>
      </c>
    </row>
    <row r="2">
      <c r="A2" s="13" t="inlineStr">
        <is>
          <t>commerce</t>
        </is>
      </c>
      <c r="B2" s="13" t="inlineStr">
        <is>
          <t>The sale path: order, payment and ledger commit in one transaction. Autoscales on requests per second.</t>
        </is>
      </c>
      <c r="C2" s="13" t="inlineStr">
        <is>
          <t>Catalogue, Identity, Ledger, Order, Tenancy, Wallet</t>
        </is>
      </c>
      <c r="D2" s="13" t="inlineStr">
        <is>
          <t>Workload node group</t>
        </is>
      </c>
      <c r="E2" s="13" t="inlineStr">
        <is>
          <t>3: One per zone: the sale path survives a zone loss without a cold start</t>
        </is>
      </c>
    </row>
    <row r="3">
      <c r="A3" s="13" t="inlineStr">
        <is>
          <t>access</t>
        </is>
      </c>
      <c r="B3" s="13" t="inlineStr">
        <is>
          <t>The gate hot path, flat high rate, offline package. The same module code builds the venue edge node.</t>
        </is>
      </c>
      <c r="C3" s="13" t="inlineStr">
        <is>
          <t>Access</t>
        </is>
      </c>
      <c r="D3" s="13" t="inlineStr">
        <is>
          <t>Workload node group (and the venue edge node)</t>
        </is>
      </c>
      <c r="E3" s="13" t="inlineStr">
        <is>
          <t>2: Cloud side only; the gate decides locally (ADR-0013)</t>
        </is>
      </c>
    </row>
    <row r="4">
      <c r="A4" s="13" t="inlineStr">
        <is>
          <t>operations</t>
        </is>
      </c>
      <c r="B4" s="13" t="inlineStr">
        <is>
          <t>Back office and engagement. Nothing that takes money waits on it.</t>
        </is>
      </c>
      <c r="C4" s="13" t="inlineStr">
        <is>
          <t>CrossRegion, Fnb, Inventory, Marketing, Platform, Reporting, Retail, VenueOps, WhiteLabel</t>
        </is>
      </c>
      <c r="D4" s="13" t="inlineStr">
        <is>
          <t>Workload node group</t>
        </is>
      </c>
      <c r="E4" s="13" t="inlineStr">
        <is>
          <t>2: Back office tolerates a short scale-out</t>
        </is>
      </c>
    </row>
    <row r="5">
      <c r="A5" s="13" t="inlineStr">
        <is>
          <t>ticvai-ai</t>
        </is>
      </c>
      <c r="B5" s="13" t="inlineStr">
        <is>
          <t>AI, in Python, isolated (ADR-0020): three process groups, read-only on the transactional schemas.</t>
        </is>
      </c>
      <c r="C5" s="13" t="inlineStr">
        <is>
          <t>Ai</t>
        </is>
      </c>
      <c r="D5" s="13" t="inlineStr">
        <is>
          <t>AI GPU node group (tainted)</t>
        </is>
      </c>
      <c r="E5" s="13" t="inlineStr">
        <is>
          <t>3: ai-realtime 2; ai-interactive 1; ai-batch 0 (real-time 3 in a large cell)</t>
        </is>
      </c>
    </row>
    <row r="6">
      <c r="A6" s="13" t="inlineStr">
        <is>
          <t>workers</t>
        </is>
      </c>
      <c r="B6" s="13" t="inlineStr">
        <is>
          <t>No module of its own: the outbox relay (one per region, ADR-0058), every module's event consumers and scheduled jobs. Scales on queue depth.</t>
        </is>
      </c>
      <c r="C6" s="13" t="inlineStr">
        <is>
          <t>-</t>
        </is>
      </c>
      <c r="D6" s="13" t="inlineStr">
        <is>
          <t>Workload node group</t>
        </is>
      </c>
      <c r="E6" s="13" t="inlineStr">
        <is>
          <t>2: Relay leases fail over between replicas (ADR-0058, amended 1 October)</t>
        </is>
      </c>
    </row>
    <row r="7">
      <c r="A7" s="13" t="inlineStr">
        <is>
          <t>Total at the floor</t>
        </is>
      </c>
      <c r="B7" s="13" t="inlineStr"/>
      <c r="C7" s="13" t="inlineStr"/>
      <c r="D7" s="13" t="inlineStr"/>
      <c r="E7" s="13" t="inlineStr">
        <is>
          <t>12 a cell; 13 in a large cell</t>
        </is>
      </c>
    </row>
    <row r="8">
      <c r="A8" s="13" t="n"/>
      <c r="B8" s="13" t="n"/>
      <c r="C8" s="13" t="n"/>
      <c r="D8" s="13" t="n"/>
      <c r="E8" s="13" t="n"/>
    </row>
    <row r="9">
      <c r="A9" s="13" t="inlineStr">
        <is>
          <t>Data stores</t>
        </is>
      </c>
      <c r="B9" s="13" t="inlineStr"/>
      <c r="C9" s="13" t="inlineStr"/>
      <c r="D9" s="13" t="inlineStr"/>
      <c r="E9" s="13" t="inlineStr"/>
    </row>
    <row r="10">
      <c r="A10" s="13" t="inlineStr">
        <is>
          <t>PostgreSQL 16</t>
        </is>
      </c>
      <c r="B10" s="13" t="inlineStr">
        <is>
          <t>Control DB and one database per tenant, Multi-AZ on every production tier (ADR-0060); read replicas; reporting replica; AI log DB</t>
        </is>
      </c>
      <c r="C10" s="13" t="inlineStr"/>
      <c r="D10" s="13" t="inlineStr">
        <is>
          <t>Amazon RDS for PostgreSQL (not Aurora)</t>
        </is>
      </c>
      <c r="E10" s="13" t="inlineStr"/>
    </row>
    <row r="11">
      <c r="A11" s="13" t="inlineStr">
        <is>
          <t>Qdrant</t>
        </is>
      </c>
      <c r="B11" s="13" t="inlineStr">
        <is>
          <t>Vectors; one collection per tenant, collection-scoped JWT (ADR-0049)</t>
        </is>
      </c>
      <c r="C11" s="13" t="inlineStr"/>
      <c r="D11" s="13" t="inlineStr">
        <is>
          <t>qdrant node group</t>
        </is>
      </c>
      <c r="E11" s="13" t="inlineStr"/>
    </row>
    <row r="12">
      <c r="A12" s="13" t="inlineStr">
        <is>
          <t>Redis</t>
        </is>
      </c>
      <c r="B12" s="13" t="inlineStr">
        <is>
          <t>Sessions, idempotency, per-tenant request budgets (ADR-0064), waiting-room positions (ADR-0066), the one-second browse cache (ADR-0065, proposed)</t>
        </is>
      </c>
      <c r="C12" s="13" t="inlineStr"/>
      <c r="D12" s="13" t="inlineStr">
        <is>
          <t>Amazon ElastiCache for Valkey</t>
        </is>
      </c>
      <c r="E12" s="13" t="inlineStr"/>
    </row>
    <row r="13">
      <c r="A13" s="13" t="inlineStr">
        <is>
          <t>Event broker</t>
        </is>
      </c>
      <c r="B13" s="13" t="inlineStr">
        <is>
          <t>RabbitMQ recommended or Kafka, the client's choice by 12 October (ADR-0057); outbox relay per region in workers (ADR-0058, amended 1 October)</t>
        </is>
      </c>
      <c r="C13" s="13" t="inlineStr"/>
      <c r="D13" s="13" t="inlineStr">
        <is>
          <t>broker node group while self-run; Amazon MQ for RabbitMQ if managed</t>
        </is>
      </c>
      <c r="E13" s="13" t="inlineStr"/>
    </row>
    <row r="14">
      <c r="A14" s="13" t="inlineStr">
        <is>
          <t>Object storage</t>
        </is>
      </c>
      <c r="B14" s="13" t="inlineStr">
        <is>
          <t>Media (including venue 3D models and navigation files, ADR-0069), exports, snapshots, dumps</t>
        </is>
      </c>
      <c r="C14" s="13" t="inlineStr"/>
      <c r="D14" s="13" t="inlineStr">
        <is>
          <t>Amazon S3</t>
        </is>
      </c>
      <c r="E14" s="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2" customWidth="1" min="1" max="1"/>
    <col width="16" customWidth="1" min="2" max="2"/>
    <col width="40" customWidth="1" min="3" max="3"/>
    <col width="60" customWidth="1" min="4" max="4"/>
    <col width="60" customWidth="1" min="5" max="5"/>
  </cols>
  <sheetData>
    <row r="1">
      <c r="A1" s="15" t="inlineStr">
        <is>
          <t>Subnet</t>
        </is>
      </c>
      <c r="B1" s="15" t="inlineStr">
        <is>
          <t>Block</t>
        </is>
      </c>
      <c r="C1" s="15" t="inlineStr">
        <is>
          <t>Per-AZ subnets (a, b, c)</t>
        </is>
      </c>
      <c r="D1" s="15" t="inlineStr">
        <is>
          <t>Holds</t>
        </is>
      </c>
      <c r="E1" s="15" t="inlineStr">
        <is>
          <t>Rule</t>
        </is>
      </c>
    </row>
    <row r="2">
      <c r="A2" s="13" t="inlineStr">
        <is>
          <t>ingress</t>
        </is>
      </c>
      <c r="B2" s="13" t="inlineStr">
        <is>
          <t>10.20.0.0/24</t>
        </is>
      </c>
      <c r="C2" s="13" t="inlineStr">
        <is>
          <t>10.20.0.0/26, 10.20.0.64/26, 10.20.0.128/26</t>
        </is>
      </c>
      <c r="D2" s="13" t="inlineStr">
        <is>
          <t>Internal Application Load Balancer, CloudFront's VPC origin (snet-ingress)</t>
        </is>
      </c>
      <c r="E2" s="13" t="inlineStr">
        <is>
          <t>Security group: inbound 443 only from the CloudFront origin-facing prefix list</t>
        </is>
      </c>
    </row>
    <row r="3">
      <c r="A3" s="13" t="inlineStr">
        <is>
          <t>public</t>
        </is>
      </c>
      <c r="B3" s="13" t="inlineStr">
        <is>
          <t>10.20.2.0/24</t>
        </is>
      </c>
      <c r="C3" s="13" t="inlineStr">
        <is>
          <t>10.20.2.0/26, 10.20.2.64/26, 10.20.2.128/26</t>
        </is>
      </c>
      <c r="D3" s="13" t="inlineStr">
        <is>
          <t>NAT Gateways and their Elastic IPs, nothing else (takes snet-agc's reserved block)</t>
        </is>
      </c>
      <c r="E3" s="13" t="inlineStr">
        <is>
          <t>Route to the Internet gateway; no instance, no load balancer</t>
        </is>
      </c>
    </row>
    <row r="4">
      <c r="A4" s="13" t="inlineStr">
        <is>
          <t>eks-system</t>
        </is>
      </c>
      <c r="B4" s="13" t="inlineStr">
        <is>
          <t>10.20.4.0/22</t>
        </is>
      </c>
      <c r="C4" s="13" t="inlineStr">
        <is>
          <t>10.20.4.0/24, 10.20.5.0/24, 10.20.6.0/24</t>
        </is>
      </c>
      <c r="D4" s="13" t="inlineStr">
        <is>
          <t>EKS system node group and the ingress controller pods</t>
        </is>
      </c>
      <c r="E4" s="13" t="inlineStr">
        <is>
          <t>Egress through the NAT Gateway of its AZ</t>
        </is>
      </c>
    </row>
    <row r="5">
      <c r="A5" s="13" t="inlineStr">
        <is>
          <t>eks-workload</t>
        </is>
      </c>
      <c r="B5" s="13" t="inlineStr">
        <is>
          <t>10.20.8.0/21</t>
        </is>
      </c>
      <c r="C5" s="13" t="inlineStr">
        <is>
          <t>10.20.8.0/23, 10.20.10.0/23, 10.20.12.0/23</t>
        </is>
      </c>
      <c r="D5" s="13" t="inlineStr">
        <is>
          <t>Workload node group: commerce, access, operations, workers</t>
        </is>
      </c>
      <c r="E5" s="13" t="inlineStr">
        <is>
          <t>Network policy: inbound from the ingress controller; egress through the NAT Gateway</t>
        </is>
      </c>
    </row>
    <row r="6">
      <c r="A6" s="13" t="inlineStr">
        <is>
          <t>eks-ai</t>
        </is>
      </c>
      <c r="B6" s="13" t="inlineStr">
        <is>
          <t>10.20.16.0/22</t>
        </is>
      </c>
      <c r="C6" s="13" t="inlineStr">
        <is>
          <t>10.20.16.0/24, 10.20.17.0/24, 10.20.18.0/24</t>
        </is>
      </c>
      <c r="D6" s="13" t="inlineStr">
        <is>
          <t>AI GPU node group (the only AI group): ticvai-ai, BGE-M3 and its reranker, Presidio and the Arabic NER</t>
        </is>
      </c>
      <c r="E6" s="13" t="inlineStr">
        <is>
          <t>Network policy: inbound from the ingress controller and the workload group; read-only role on transactional schemas (ADR-0020, amended by ADR-0049)</t>
        </is>
      </c>
    </row>
    <row r="7">
      <c r="A7" s="13" t="inlineStr">
        <is>
          <t>eks-data</t>
        </is>
      </c>
      <c r="B7" s="13" t="inlineStr">
        <is>
          <t>10.20.20.0/23</t>
        </is>
      </c>
      <c r="C7" s="13" t="inlineStr">
        <is>
          <t>10.20.20.0/25, 10.20.20.128/25, 10.20.21.0/25</t>
        </is>
      </c>
      <c r="D7" s="13" t="inlineStr">
        <is>
          <t>qdrant node group and, while the broker is self-run, the broker node group; both tainted ticvai.io/pool=data</t>
        </is>
      </c>
      <c r="E7" s="13" t="inlineStr">
        <is>
          <t>Network policy: inbound from the workload and AI groups only; Qdrant needs each tenant's collection-scoped JWT</t>
        </is>
      </c>
    </row>
    <row r="8">
      <c r="A8" s="13" t="inlineStr">
        <is>
          <t>db</t>
        </is>
      </c>
      <c r="B8" s="13" t="inlineStr">
        <is>
          <t>10.20.24.0/24</t>
        </is>
      </c>
      <c r="C8" s="13" t="inlineStr">
        <is>
          <t>10.20.24.0/26, 10.20.24.64/26, 10.20.24.128/26</t>
        </is>
      </c>
      <c r="D8" s="13" t="inlineStr">
        <is>
          <t>RDS DB subnet group: the primary and its Multi-AZ standby, replicas, the AI log DB</t>
        </is>
      </c>
      <c r="E8" s="13" t="inlineStr">
        <is>
          <t>Security group: 5432 from the EKS node and pod security groups; not publicly accessible</t>
        </is>
      </c>
    </row>
    <row r="9">
      <c r="A9" s="13" t="inlineStr">
        <is>
          <t>endpoints</t>
        </is>
      </c>
      <c r="B9" s="13" t="inlineStr">
        <is>
          <t>10.20.25.0/24</t>
        </is>
      </c>
      <c r="C9" s="13" t="inlineStr">
        <is>
          <t>10.20.25.0/26, 10.20.25.64/26, 10.20.25.128/26</t>
        </is>
      </c>
      <c r="D9" s="13" t="inlineStr">
        <is>
          <t>Interface VPC endpoints, the ElastiCache subnet group (and Amazon MQ if chosen)</t>
        </is>
      </c>
      <c r="E9" s="13" t="inlineStr">
        <is>
          <t>Security group: inbound from the EKS subnets only; private DNS on; no public endpoint</t>
        </is>
      </c>
    </row>
    <row r="10">
      <c r="A10" s="13" t="inlineStr">
        <is>
          <t>(none: no Bastion)</t>
        </is>
      </c>
      <c r="B10" s="13" t="inlineStr">
        <is>
          <t>10.20.26.0/26</t>
        </is>
      </c>
      <c r="C10" s="13" t="inlineStr">
        <is>
          <t>-</t>
        </is>
      </c>
      <c r="D10" s="13" t="inlineStr">
        <is>
          <t>Not created: Session Manager reaches the nodes through the ssm endpoints or the NAT Gateway</t>
        </is>
      </c>
      <c r="E10" s="13" t="inlineStr">
        <is>
          <t>Reserved</t>
        </is>
      </c>
    </row>
    <row r="11">
      <c r="A11" s="13" t="inlineStr">
        <is>
          <t>tgw-attach</t>
        </is>
      </c>
      <c r="B11" s="13" t="inlineStr">
        <is>
          <t>10.20.27.0/27</t>
        </is>
      </c>
      <c r="C11" s="13" t="inlineStr">
        <is>
          <t>10.20.27.0/28, 10.20.27.16/28 (a third /28 needs 10.20.27.32/28)</t>
        </is>
      </c>
      <c r="D11" s="13" t="inlineStr">
        <is>
          <t>Transit Gateway or VPN attachment for dedicated-tier venues' site-to-site VPN (GatewaySubnet)</t>
        </is>
      </c>
      <c r="E11" s="13" t="inlineStr">
        <is>
          <t>Created when a venue needs it</t>
        </is>
      </c>
    </row>
    <row r="12">
      <c r="A12" s="13" t="inlineStr">
        <is>
          <t>pods (secondary CIDR)</t>
        </is>
      </c>
      <c r="B12" s="13" t="inlineStr">
        <is>
          <t>100.64.0.0/16</t>
        </is>
      </c>
      <c r="C12" s="13" t="inlineStr">
        <is>
          <t>100.64.0.0/18, 100.64.64.0/18, 100.64.128.0/18</t>
        </is>
      </c>
      <c r="D12" s="13" t="inlineStr">
        <is>
          <t>Pod addresses: VPC CNI custom networking, so pods do not use the node subnets (the CNI Overlay range on Azure)</t>
        </is>
      </c>
      <c r="E12" s="13" t="inlineStr">
        <is>
          <t>Must not overlap the client's ranges or a venue LAN on the VPN</t>
        </is>
      </c>
    </row>
    <row r="13">
      <c r="A13" s="13" t="inlineStr">
        <is>
          <t>EKS services</t>
        </is>
      </c>
      <c r="B13" s="13" t="inlineStr">
        <is>
          <t>10.100.0.0/16</t>
        </is>
      </c>
      <c r="C13" s="13" t="inlineStr">
        <is>
          <t>-</t>
        </is>
      </c>
      <c r="D13" s="13" t="inlineStr">
        <is>
          <t>Kubernetes service range (service_ipv4_cidr)</t>
        </is>
      </c>
      <c r="E13" s="13" t="inlineStr">
        <is>
          <t>Internal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 width="80" customWidth="1" min="2" max="2"/>
  </cols>
  <sheetData>
    <row r="1">
      <c r="A1" s="15" t="inlineStr">
        <is>
          <t>Azure (UAE North)</t>
        </is>
      </c>
      <c r="B1" s="15" t="inlineStr">
        <is>
          <t>AWS (me-central-1, UAE)</t>
        </is>
      </c>
    </row>
    <row r="2">
      <c r="A2" s="13" t="inlineStr">
        <is>
          <t>Azure Front Door Premium + WAF (waiting-room page from cache; built-in DDoS protection)</t>
        </is>
      </c>
      <c r="B2" s="13" t="inlineStr">
        <is>
          <t>Amazon CloudFront + AWS WAF (managed core rule set, Bot Control, rate-based rules); the waiting-room page from CloudFront's cache; AWS Shield Standard for DDoS</t>
        </is>
      </c>
    </row>
    <row r="3">
      <c r="A3" s="13" t="inlineStr">
        <is>
          <t>Internal load balancer + Private Link service; AKS App Routing (Gateway API)</t>
        </is>
      </c>
      <c r="B3" s="13" t="inlineStr">
        <is>
          <t>Internal Application Load Balancer (AWS Load Balancer Controller, Gateway API or Ingress), CloudFront VPC origin</t>
        </is>
      </c>
    </row>
    <row r="4">
      <c r="A4" s="13" t="inlineStr">
        <is>
          <t>AKS, Standard tier: system, workload, AI GPU, qdrant and broker pools</t>
        </is>
      </c>
      <c r="B4" s="13" t="inlineStr">
        <is>
          <t>Amazon EKS: system, workload, AI GPU, qdrant and broker managed node groups, the same taints</t>
        </is>
      </c>
    </row>
    <row r="5">
      <c r="A5" s="13" t="inlineStr">
        <is>
          <t>AKS AI GPU pool: NV6ads A10 v5 (1/6 A10, 4 GB)</t>
        </is>
      </c>
      <c r="B5" s="13" t="inlineStr">
        <is>
          <t>EKS GPU node group: g6.2xlarge (1 x L4, 24 GB)</t>
        </is>
      </c>
    </row>
    <row r="6">
      <c r="A6" s="13" t="inlineStr">
        <is>
          <t>Azure Database for PostgreSQL Flexible Server 16, zone-redundant HA</t>
        </is>
      </c>
      <c r="B6" s="13" t="inlineStr">
        <is>
          <t>Amazon RDS for PostgreSQL 16, Multi-AZ DB instance (not Aurora)</t>
        </is>
      </c>
    </row>
    <row r="7">
      <c r="A7" s="13" t="inlineStr">
        <is>
          <t>Read replicas x2, reporting replica, AI log DB</t>
        </is>
      </c>
      <c r="B7" s="13" t="inlineStr">
        <is>
          <t>RDS read replicas x2 (db.m6g.xlarge), a reporting replica (db.m6g.large), an AI log DB instance</t>
        </is>
      </c>
    </row>
    <row r="8">
      <c r="A8" s="13" t="inlineStr">
        <is>
          <t>Azure Managed Redis (Balanced B10, HA)</t>
        </is>
      </c>
      <c r="B8" s="13" t="inlineStr">
        <is>
          <t>Amazon ElastiCache for Valkey (cache.r7g.large, primary + replica, Multi-AZ)</t>
        </is>
      </c>
    </row>
    <row r="9">
      <c r="A9" s="13" t="inlineStr">
        <is>
          <t>Event broker self-run on the AKS broker pool (CloudAMQP recommended)</t>
        </is>
      </c>
      <c r="B9" s="13" t="inlineStr">
        <is>
          <t>Self-run on the EKS broker node group (RabbitMQ Cluster Operator), as on Azure; Amazon MQ for RabbitMQ the managed option</t>
        </is>
      </c>
    </row>
    <row r="10">
      <c r="A10" s="13" t="inlineStr">
        <is>
          <t>Qdrant on the AKS qdrant pool, Premium SSD</t>
        </is>
      </c>
      <c r="B10" s="13" t="inlineStr">
        <is>
          <t>Qdrant on the EKS qdrant node group (r6i.xlarge), EBS gp3</t>
        </is>
      </c>
    </row>
    <row r="11">
      <c r="A11" s="13" t="inlineStr">
        <is>
          <t>Managed Disks (Premium SSD)</t>
        </is>
      </c>
      <c r="B11" s="13" t="inlineStr">
        <is>
          <t>Amazon EBS gp3</t>
        </is>
      </c>
    </row>
    <row r="12">
      <c r="A12" s="13" t="inlineStr">
        <is>
          <t>Blob storage (ZRS)</t>
        </is>
      </c>
      <c r="B12" s="13" t="inlineStr">
        <is>
          <t>Amazon S3 Standard (multi-AZ), S3 gateway endpoint</t>
        </is>
      </c>
    </row>
    <row r="13">
      <c r="A13" s="13" t="inlineStr">
        <is>
          <t>Container Registry</t>
        </is>
      </c>
      <c r="B13" s="13" t="inlineStr">
        <is>
          <t>Amazon ECR</t>
        </is>
      </c>
    </row>
    <row r="14">
      <c r="A14" s="13" t="inlineStr">
        <is>
          <t>Key Vault (secrets; Premium HSM keys for ADR-0063)</t>
        </is>
      </c>
      <c r="B14" s="13" t="inlineStr">
        <is>
          <t>AWS Secrets Manager + AWS KMS customer managed keys (HSM-backed; BYOK by import)</t>
        </is>
      </c>
    </row>
    <row r="15">
      <c r="A15" s="13" t="inlineStr">
        <is>
          <t>NAT Gateway (one static egress IP)</t>
        </is>
      </c>
      <c r="B15" s="13" t="inlineStr">
        <is>
          <t>NAT Gateway, one per AZ, with Elastic IPs (three IPs to allow-list)</t>
        </is>
      </c>
    </row>
    <row r="16">
      <c r="A16" s="13" t="inlineStr">
        <is>
          <t>Azure Bastion</t>
        </is>
      </c>
      <c r="B16" s="13" t="inlineStr">
        <is>
          <t>AWS Systems Manager Session Manager</t>
        </is>
      </c>
    </row>
    <row r="17">
      <c r="A17" s="13" t="inlineStr">
        <is>
          <t>Private Link private endpoints + private DNS zones</t>
        </is>
      </c>
      <c r="B17" s="13" t="inlineStr">
        <is>
          <t>AWS PrivateLink interface VPC endpoints + Route 53 private hosted zones</t>
        </is>
      </c>
    </row>
    <row r="18">
      <c r="A18" s="13" t="inlineStr">
        <is>
          <t>NSGs at the edges, Cilium network policy inside</t>
        </is>
      </c>
      <c r="B18" s="13" t="inlineStr">
        <is>
          <t>Security groups at the edges, Cilium (or VPC CNI) network policy inside</t>
        </is>
      </c>
    </row>
    <row r="19">
      <c r="A19" s="13" t="inlineStr">
        <is>
          <t>VPN gateway in GatewaySubnet (dedicated-tier venues)</t>
        </is>
      </c>
      <c r="B19" s="13" t="inlineStr">
        <is>
          <t>AWS Site-to-Site VPN on a virtual private gateway or Transit Gateway</t>
        </is>
      </c>
    </row>
    <row r="20">
      <c r="A20" s="13" t="inlineStr">
        <is>
          <t>Azure Monitor + Log Analytics</t>
        </is>
      </c>
      <c r="B20" s="13" t="inlineStr">
        <is>
          <t>Amazon CloudWatch (Logs, metrics, Container Insights)</t>
        </is>
      </c>
    </row>
    <row r="21">
      <c r="A21" s="13" t="inlineStr">
        <is>
          <t>Microsoft Defender for Cloud</t>
        </is>
      </c>
      <c r="B21" s="13" t="inlineStr">
        <is>
          <t>Amazon GuardDuty (EKS Runtime, RDS Protection) + Amazon Inspector + AWS Security Hub</t>
        </is>
      </c>
    </row>
    <row r="22">
      <c r="A22" s="13" t="inlineStr">
        <is>
          <t>Azure Backup</t>
        </is>
      </c>
      <c r="B22" s="13" t="inlineStr">
        <is>
          <t>AWS Backup (EBS snapshots); RDS automated backups and PITR</t>
        </is>
      </c>
    </row>
    <row r="23">
      <c r="A23" s="13" t="inlineStr">
        <is>
          <t>Entra ID (administrators); managed identities (workload identity)</t>
        </is>
      </c>
      <c r="B23" s="13" t="inlineStr">
        <is>
          <t>IAM Identity Center (administrators); EKS Pod Identity (or IRSA) for workloads</t>
        </is>
      </c>
    </row>
    <row r="24">
      <c r="A24" s="13" t="inlineStr">
        <is>
          <t>DR in UAE Central (ADR-0060)</t>
        </is>
      </c>
      <c r="B24" s="13" t="inlineStr">
        <is>
          <t>OPEN: AWS has one UAE region (see Disaster recovery)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 customWidth="1" min="1" max="1"/>
    <col width="60" customWidth="1" min="2" max="2"/>
    <col width="50" customWidth="1" min="3" max="3"/>
    <col width="70" customWidth="1" min="4" max="4"/>
  </cols>
  <sheetData>
    <row r="1">
      <c r="A1" s="15" t="inlineStr">
        <is>
          <t>Option</t>
        </is>
      </c>
      <c r="B1" s="15" t="inlineStr">
        <is>
          <t>What it is</t>
        </is>
      </c>
      <c r="C1" s="15" t="inlineStr">
        <is>
          <t>UAE residency</t>
        </is>
      </c>
      <c r="D1" s="15" t="inlineStr">
        <is>
          <t>Consequences</t>
        </is>
      </c>
    </row>
    <row r="2">
      <c r="A2" s="13" t="inlineStr">
        <is>
          <t>A. Multi-AZ only, backups in-region</t>
        </is>
      </c>
      <c r="B2" s="13" t="inlineStr">
        <is>
          <t>Everything in me-central-1 across three AZs; RDS automated backups and snapshots, AWS Backup vaults (a logically air-gapped vault included) and S3 copies all in me-central-1</t>
        </is>
      </c>
      <c r="C2" s="13" t="inlineStr">
        <is>
          <t>Keeps every store in the UAE (ADR-0009, the condition Qdrant was approved on)</t>
        </is>
      </c>
      <c r="D2" s="13" t="inlineStr">
        <is>
          <t>No region-level DR: a regional outage stops the cloud services until AWS restores the region (venues keep running on their edge nodes). RPO is the last in-region backup, RTO the region's recovery, with no bound we control. The cheapest; the tenant-selectable DR module of ADR-0060 has nowhere to go</t>
        </is>
      </c>
    </row>
    <row r="3">
      <c r="A3" s="13" t="inlineStr">
        <is>
          <t>B. Cross-region to Bahrain (me-south-1)</t>
        </is>
      </c>
      <c r="B3" s="13" t="inlineStr">
        <is>
          <t>An RDS cross-region read replica or snapshot copies, S3 replication, and a standby EKS cell in me-south-1</t>
        </is>
      </c>
      <c r="C3" s="13" t="inlineStr">
        <is>
          <t>Breaks UAE residency: Bahrain is outside the UAE. Needs the client's (and, for regulated data, the regulator's) written acceptance, and reverses the basis Qdrant was approved on</t>
        </is>
      </c>
      <c r="D3" s="13" t="inlineStr">
        <is>
          <t>Real regional DR (RPO minutes with a replica, RTO hours with a rehearsed runbook), as Azure's UAE Central gives. Adds a second cell's cost and cross-region transfer (about $0.09 per GB out of me-central-1 to me-south-1)</t>
        </is>
      </c>
    </row>
    <row r="4">
      <c r="A4" s="13" t="inlineStr">
        <is>
          <t>C. On-premises or another provider in the UAE</t>
        </is>
      </c>
      <c r="B4" s="13" t="inlineStr">
        <is>
          <t>A recovery site in the UAE outside AWS: the client's data centre, a UAE colocation, or Azure UAE North or Central as the DR side of an AWS primary</t>
        </is>
      </c>
      <c r="C4" s="13" t="inlineStr">
        <is>
          <t>Keeps every store in the UAE</t>
        </is>
      </c>
      <c r="D4" s="13" t="inlineStr">
        <is>
          <t>Cross-provider replication (PostgreSQL logical replication or dumps, S3 to Blob or object-store copies, Qdrant snapshots), two sets of tooling and skills, Internet egress at $0.117 per GB; the most work to build and rehearse</t>
        </is>
      </c>
    </row>
    <row r="5">
      <c r="A5" s="13" t="inlineStr">
        <is>
          <t>Status</t>
        </is>
      </c>
      <c r="B5" s="13" t="inlineStr">
        <is>
          <t>OPEN, not decided (CHG-R3-001). AWS has one region in the UAE (me-central-1, three AZs); Azure's DR region, UAE Central, has no AWS counterpart. The options and what each costs are below; the choice is Chinmay's and the client's, because two of the three trade residency or money against recovery.</t>
        </is>
      </c>
      <c r="C5" s="13" t="inlineStr"/>
      <c r="D5" s="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20" customWidth="1" min="1" max="1"/>
    <col width="12" customWidth="1" min="2" max="2"/>
    <col width="20" customWidth="1" min="3" max="3"/>
    <col width="70" customWidth="1" min="4" max="4"/>
    <col width="40" customWidth="1" min="5" max="5"/>
  </cols>
  <sheetData>
    <row r="1">
      <c r="A1" s="15" t="inlineStr">
        <is>
          <t>Key</t>
        </is>
      </c>
      <c r="B1" s="15" t="inlineStr">
        <is>
          <t>USD</t>
        </is>
      </c>
      <c r="C1" s="15" t="inlineStr">
        <is>
          <t>Per</t>
        </is>
      </c>
      <c r="D1" s="15" t="inlineStr">
        <is>
          <t>What</t>
        </is>
      </c>
      <c r="E1" s="15" t="inlineStr">
        <is>
          <t>Offer file and its publication date</t>
        </is>
      </c>
    </row>
    <row r="2">
      <c r="A2" s="13" t="inlineStr">
        <is>
          <t>eks</t>
        </is>
      </c>
      <c r="B2" s="13" t="n">
        <v>0.1</v>
      </c>
      <c r="C2" s="13" t="inlineStr">
        <is>
          <t>hour</t>
        </is>
      </c>
      <c r="D2" s="13" t="inlineStr">
        <is>
          <t>EKS cluster, standard support</t>
        </is>
      </c>
      <c r="E2" s="13" t="inlineStr">
        <is>
          <t>AmazonEKS 2026-09-28</t>
        </is>
      </c>
    </row>
    <row r="3">
      <c r="A3" s="13" t="inlineStr">
        <is>
          <t>m6i.large</t>
        </is>
      </c>
      <c r="B3" s="13" t="n">
        <v>0.1177</v>
      </c>
      <c r="C3" s="13" t="inlineStr">
        <is>
          <t>hour</t>
        </is>
      </c>
      <c r="D3" s="13" t="inlineStr">
        <is>
          <t>EC2 m6i.large (2 vCPU, 8 GiB), Linux</t>
        </is>
      </c>
      <c r="E3" s="13" t="inlineStr">
        <is>
          <t>AmazonEC2 2026-09-25</t>
        </is>
      </c>
    </row>
    <row r="4">
      <c r="A4" s="13" t="inlineStr">
        <is>
          <t>m6i.xlarge</t>
        </is>
      </c>
      <c r="B4" s="13" t="n">
        <v>0.2354</v>
      </c>
      <c r="C4" s="13" t="inlineStr">
        <is>
          <t>hour</t>
        </is>
      </c>
      <c r="D4" s="13" t="inlineStr">
        <is>
          <t>EC2 m6i.xlarge (4 vCPU, 16 GiB), Linux</t>
        </is>
      </c>
      <c r="E4" s="13" t="inlineStr">
        <is>
          <t>AmazonEC2 2026-09-25</t>
        </is>
      </c>
    </row>
    <row r="5">
      <c r="A5" s="13" t="inlineStr">
        <is>
          <t>m6i.2xlarge</t>
        </is>
      </c>
      <c r="B5" s="13" t="n">
        <v>0.4708</v>
      </c>
      <c r="C5" s="13" t="inlineStr">
        <is>
          <t>hour</t>
        </is>
      </c>
      <c r="D5" s="13" t="inlineStr">
        <is>
          <t>EC2 m6i.2xlarge (8 vCPU, 32 GiB), Linux</t>
        </is>
      </c>
      <c r="E5" s="13" t="inlineStr">
        <is>
          <t>AmazonEC2 2026-09-25</t>
        </is>
      </c>
    </row>
    <row r="6">
      <c r="A6" s="13" t="inlineStr">
        <is>
          <t>m6i.4xlarge</t>
        </is>
      </c>
      <c r="B6" s="13" t="n">
        <v>0.9416</v>
      </c>
      <c r="C6" s="13" t="inlineStr">
        <is>
          <t>hour</t>
        </is>
      </c>
      <c r="D6" s="13" t="inlineStr">
        <is>
          <t>EC2 m6i.4xlarge (16 vCPU, 64 GiB), Linux</t>
        </is>
      </c>
      <c r="E6" s="13" t="inlineStr">
        <is>
          <t>AmazonEC2 2026-09-25</t>
        </is>
      </c>
    </row>
    <row r="7">
      <c r="A7" s="13" t="inlineStr">
        <is>
          <t>r6i.large</t>
        </is>
      </c>
      <c r="B7" s="13" t="n">
        <v>0.1551</v>
      </c>
      <c r="C7" s="13" t="inlineStr">
        <is>
          <t>hour</t>
        </is>
      </c>
      <c r="D7" s="13" t="inlineStr">
        <is>
          <t>EC2 r6i.large (2 vCPU, 16 GiB), Linux</t>
        </is>
      </c>
      <c r="E7" s="13" t="inlineStr">
        <is>
          <t>AmazonEC2 2026-09-25</t>
        </is>
      </c>
    </row>
    <row r="8">
      <c r="A8" s="13" t="inlineStr">
        <is>
          <t>r6i.xlarge</t>
        </is>
      </c>
      <c r="B8" s="13" t="n">
        <v>0.3102</v>
      </c>
      <c r="C8" s="13" t="inlineStr">
        <is>
          <t>hour</t>
        </is>
      </c>
      <c r="D8" s="13" t="inlineStr">
        <is>
          <t>EC2 r6i.xlarge (4 vCPU, 32 GiB), Linux</t>
        </is>
      </c>
      <c r="E8" s="13" t="inlineStr">
        <is>
          <t>AmazonEC2 2026-09-25</t>
        </is>
      </c>
    </row>
    <row r="9">
      <c r="A9" s="13" t="inlineStr">
        <is>
          <t>g6.xlarge</t>
        </is>
      </c>
      <c r="B9" s="13" t="n">
        <v>0.98824</v>
      </c>
      <c r="C9" s="13" t="inlineStr">
        <is>
          <t>hour</t>
        </is>
      </c>
      <c r="D9" s="13" t="inlineStr">
        <is>
          <t>EC2 g6.xlarge (4 vCPU, 16 GiB, 1 x L4 24 GB), Linux</t>
        </is>
      </c>
      <c r="E9" s="13" t="inlineStr">
        <is>
          <t>AmazonEC2 2026-09-25</t>
        </is>
      </c>
    </row>
    <row r="10">
      <c r="A10" s="13" t="inlineStr">
        <is>
          <t>g6.2xlarge</t>
        </is>
      </c>
      <c r="B10" s="13" t="n">
        <v>1.20043</v>
      </c>
      <c r="C10" s="13" t="inlineStr">
        <is>
          <t>hour</t>
        </is>
      </c>
      <c r="D10" s="13" t="inlineStr">
        <is>
          <t>EC2 g6.2xlarge (8 vCPU, 32 GiB, 1 x L4 24 GB), Linux</t>
        </is>
      </c>
      <c r="E10" s="13" t="inlineStr">
        <is>
          <t>AmazonEC2 2026-09-25</t>
        </is>
      </c>
    </row>
    <row r="11">
      <c r="A11" s="13" t="inlineStr">
        <is>
          <t>g5.xlarge</t>
        </is>
      </c>
      <c r="B11" s="13" t="n">
        <v>1.234</v>
      </c>
      <c r="C11" s="13" t="inlineStr">
        <is>
          <t>hour</t>
        </is>
      </c>
      <c r="D11" s="13" t="inlineStr">
        <is>
          <t>EC2 g5.xlarge (4 vCPU, 16 GiB, 1 x A10G 24 GB), Linux</t>
        </is>
      </c>
      <c r="E11" s="13" t="inlineStr">
        <is>
          <t>AmazonEC2 2026-09-25</t>
        </is>
      </c>
    </row>
    <row r="12">
      <c r="A12" s="13" t="inlineStr">
        <is>
          <t>g5.2xlarge</t>
        </is>
      </c>
      <c r="B12" s="13" t="n">
        <v>1.48669</v>
      </c>
      <c r="C12" s="13" t="inlineStr">
        <is>
          <t>hour</t>
        </is>
      </c>
      <c r="D12" s="13" t="inlineStr">
        <is>
          <t>EC2 g5.2xlarge (8 vCPU, 32 GiB, 1 x A10G 24 GB), Linux</t>
        </is>
      </c>
      <c r="E12" s="13" t="inlineStr">
        <is>
          <t>AmazonEC2 2026-09-25</t>
        </is>
      </c>
    </row>
    <row r="13">
      <c r="A13" s="13" t="inlineStr">
        <is>
          <t>gp3</t>
        </is>
      </c>
      <c r="B13" s="13" t="n">
        <v>0.0968</v>
      </c>
      <c r="C13" s="13" t="inlineStr">
        <is>
          <t>GB-month</t>
        </is>
      </c>
      <c r="D13" s="13" t="inlineStr">
        <is>
          <t>EBS gp3 volume</t>
        </is>
      </c>
      <c r="E13" s="13" t="inlineStr">
        <is>
          <t>AmazonEC2 2026-09-25</t>
        </is>
      </c>
    </row>
    <row r="14">
      <c r="A14" s="13" t="inlineStr">
        <is>
          <t>ebs-snap</t>
        </is>
      </c>
      <c r="B14" s="13" t="n">
        <v>0.055</v>
      </c>
      <c r="C14" s="13" t="inlineStr">
        <is>
          <t>GB-month</t>
        </is>
      </c>
      <c r="D14" s="13" t="inlineStr">
        <is>
          <t>EBS snapshot storage</t>
        </is>
      </c>
      <c r="E14" s="13" t="inlineStr">
        <is>
          <t>AmazonEC2 2026-09-25</t>
        </is>
      </c>
    </row>
    <row r="15">
      <c r="A15" s="13" t="inlineStr">
        <is>
          <t>nat</t>
        </is>
      </c>
      <c r="B15" s="13" t="n">
        <v>0.0528</v>
      </c>
      <c r="C15" s="13" t="inlineStr">
        <is>
          <t>hour</t>
        </is>
      </c>
      <c r="D15" s="13" t="inlineStr">
        <is>
          <t>NAT Gateway (zonal; the Regional NAT Gateway is the same rate)</t>
        </is>
      </c>
      <c r="E15" s="13" t="inlineStr">
        <is>
          <t>AmazonEC2 2026-09-25</t>
        </is>
      </c>
    </row>
    <row r="16">
      <c r="A16" s="13" t="inlineStr">
        <is>
          <t>nat-gb</t>
        </is>
      </c>
      <c r="B16" s="13" t="n">
        <v>0.0528</v>
      </c>
      <c r="C16" s="13" t="inlineStr">
        <is>
          <t>GB</t>
        </is>
      </c>
      <c r="D16" s="13" t="inlineStr">
        <is>
          <t>NAT Gateway data processed</t>
        </is>
      </c>
      <c r="E16" s="13" t="inlineStr">
        <is>
          <t>AmazonEC2 2026-09-25</t>
        </is>
      </c>
    </row>
    <row r="17">
      <c r="A17" s="13" t="inlineStr">
        <is>
          <t>ipv4</t>
        </is>
      </c>
      <c r="B17" s="13" t="n">
        <v>0.005</v>
      </c>
      <c r="C17" s="13" t="inlineStr">
        <is>
          <t>hour</t>
        </is>
      </c>
      <c r="D17" s="13" t="inlineStr">
        <is>
          <t>Public IPv4 address (Elastic IP), in use</t>
        </is>
      </c>
      <c r="E17" s="13" t="inlineStr">
        <is>
          <t>AmazonVPC 2026-09-17</t>
        </is>
      </c>
    </row>
    <row r="18">
      <c r="A18" s="13" t="inlineStr">
        <is>
          <t>vpce</t>
        </is>
      </c>
      <c r="B18" s="13" t="n">
        <v>0.0121</v>
      </c>
      <c r="C18" s="13" t="inlineStr">
        <is>
          <t>hour</t>
        </is>
      </c>
      <c r="D18" s="13" t="inlineStr">
        <is>
          <t>Interface VPC endpoint, per AZ</t>
        </is>
      </c>
      <c r="E18" s="13" t="inlineStr">
        <is>
          <t>AmazonVPC 2026-09-17</t>
        </is>
      </c>
    </row>
    <row r="19">
      <c r="A19" s="13" t="inlineStr">
        <is>
          <t>vpce-gb</t>
        </is>
      </c>
      <c r="B19" s="13" t="n">
        <v>0.01</v>
      </c>
      <c r="C19" s="13" t="inlineStr">
        <is>
          <t>GB</t>
        </is>
      </c>
      <c r="D19" s="13" t="inlineStr">
        <is>
          <t>Interface VPC endpoint data processed, first 1 PB</t>
        </is>
      </c>
      <c r="E19" s="13" t="inlineStr">
        <is>
          <t>AmazonVPC 2026-09-17</t>
        </is>
      </c>
    </row>
    <row r="20">
      <c r="A20" s="13" t="inlineStr">
        <is>
          <t>rds-m6g.large</t>
        </is>
      </c>
      <c r="B20" s="13" t="n">
        <v>0.193</v>
      </c>
      <c r="C20" s="13" t="inlineStr">
        <is>
          <t>hour</t>
        </is>
      </c>
      <c r="D20" s="13" t="inlineStr">
        <is>
          <t>RDS PostgreSQL db.m6g.large (2 vCPU, 8 GiB), single-AZ</t>
        </is>
      </c>
      <c r="E20" s="13" t="inlineStr">
        <is>
          <t>AmazonRDS 2026-10-01</t>
        </is>
      </c>
    </row>
    <row r="21">
      <c r="A21" s="13" t="inlineStr">
        <is>
          <t>rds-m6g.xlarge</t>
        </is>
      </c>
      <c r="B21" s="13" t="n">
        <v>0.386</v>
      </c>
      <c r="C21" s="13" t="inlineStr">
        <is>
          <t>hour</t>
        </is>
      </c>
      <c r="D21" s="13" t="inlineStr">
        <is>
          <t>RDS PostgreSQL db.m6g.xlarge (4 vCPU, 16 GiB), single-AZ</t>
        </is>
      </c>
      <c r="E21" s="13" t="inlineStr">
        <is>
          <t>AmazonRDS 2026-10-01</t>
        </is>
      </c>
    </row>
    <row r="22">
      <c r="A22" s="13" t="inlineStr">
        <is>
          <t>rds-m6g.xlarge-maz</t>
        </is>
      </c>
      <c r="B22" s="13" t="n">
        <v>0.772</v>
      </c>
      <c r="C22" s="13" t="inlineStr">
        <is>
          <t>hour</t>
        </is>
      </c>
      <c r="D22" s="13" t="inlineStr">
        <is>
          <t>RDS PostgreSQL db.m6g.xlarge, Multi-AZ DB instance</t>
        </is>
      </c>
      <c r="E22" s="13" t="inlineStr">
        <is>
          <t>AmazonRDS 2026-10-01</t>
        </is>
      </c>
    </row>
    <row r="23">
      <c r="A23" s="13" t="inlineStr">
        <is>
          <t>rds-gp3</t>
        </is>
      </c>
      <c r="B23" s="13" t="n">
        <v>0.14</v>
      </c>
      <c r="C23" s="13" t="inlineStr">
        <is>
          <t>GB-month</t>
        </is>
      </c>
      <c r="D23" s="13" t="inlineStr">
        <is>
          <t>RDS gp3 storage, single-AZ</t>
        </is>
      </c>
      <c r="E23" s="13" t="inlineStr">
        <is>
          <t>AmazonRDS 2026-10-01</t>
        </is>
      </c>
    </row>
    <row r="24">
      <c r="A24" s="13" t="inlineStr">
        <is>
          <t>rds-gp3-maz</t>
        </is>
      </c>
      <c r="B24" s="13" t="n">
        <v>0.279</v>
      </c>
      <c r="C24" s="13" t="inlineStr">
        <is>
          <t>GB-month</t>
        </is>
      </c>
      <c r="D24" s="13" t="inlineStr">
        <is>
          <t>RDS gp3 storage, Multi-AZ</t>
        </is>
      </c>
      <c r="E24" s="13" t="inlineStr">
        <is>
          <t>AmazonRDS 2026-10-01</t>
        </is>
      </c>
    </row>
    <row r="25">
      <c r="A25" s="13" t="inlineStr">
        <is>
          <t>rds-backup</t>
        </is>
      </c>
      <c r="B25" s="13" t="n">
        <v>0.1045</v>
      </c>
      <c r="C25" s="13" t="inlineStr">
        <is>
          <t>GB-month</t>
        </is>
      </c>
      <c r="D25" s="13" t="inlineStr">
        <is>
          <t>RDS backup storage beyond the free allocation</t>
        </is>
      </c>
      <c r="E25" s="13" t="inlineStr">
        <is>
          <t>AmazonRDS 2026-10-01</t>
        </is>
      </c>
    </row>
    <row r="26">
      <c r="A26" s="13" t="inlineStr">
        <is>
          <t>aurora-r6g.large</t>
        </is>
      </c>
      <c r="B26" s="13" t="n">
        <v>0.313</v>
      </c>
      <c r="C26" s="13" t="inlineStr">
        <is>
          <t>hour</t>
        </is>
      </c>
      <c r="D26" s="13" t="inlineStr">
        <is>
          <t>Aurora PostgreSQL db.r6g.large (2 vCPU, 16 GiB), Standard</t>
        </is>
      </c>
      <c r="E26" s="13" t="inlineStr">
        <is>
          <t>AmazonRDS 2026-10-01</t>
        </is>
      </c>
    </row>
    <row r="27">
      <c r="A27" s="13" t="inlineStr">
        <is>
          <t>aurora-r6g.xlarge</t>
        </is>
      </c>
      <c r="B27" s="13" t="n">
        <v>0.627</v>
      </c>
      <c r="C27" s="13" t="inlineStr">
        <is>
          <t>hour</t>
        </is>
      </c>
      <c r="D27" s="13" t="inlineStr">
        <is>
          <t>Aurora PostgreSQL db.r6g.xlarge (4 vCPU, 32 GiB), Standard</t>
        </is>
      </c>
      <c r="E27" s="13" t="inlineStr">
        <is>
          <t>AmazonRDS 2026-10-01</t>
        </is>
      </c>
    </row>
    <row r="28">
      <c r="A28" s="13" t="inlineStr">
        <is>
          <t>aurora-storage</t>
        </is>
      </c>
      <c r="B28" s="13" t="n">
        <v>0.121</v>
      </c>
      <c r="C28" s="13" t="inlineStr">
        <is>
          <t>GB-month</t>
        </is>
      </c>
      <c r="D28" s="13" t="inlineStr">
        <is>
          <t>Aurora storage, Standard</t>
        </is>
      </c>
      <c r="E28" s="13" t="inlineStr">
        <is>
          <t>AmazonRDS 2026-10-01</t>
        </is>
      </c>
    </row>
    <row r="29">
      <c r="A29" s="13" t="inlineStr">
        <is>
          <t>aurora-io</t>
        </is>
      </c>
      <c r="B29" s="13" t="n">
        <v>0.242</v>
      </c>
      <c r="C29" s="13" t="inlineStr">
        <is>
          <t>million I/O</t>
        </is>
      </c>
      <c r="D29" s="13" t="inlineStr">
        <is>
          <t>Aurora I/O requests, Standard</t>
        </is>
      </c>
      <c r="E29" s="13" t="inlineStr">
        <is>
          <t>AmazonRDS 2026-10-01</t>
        </is>
      </c>
    </row>
    <row r="30">
      <c r="A30" s="13" t="inlineStr">
        <is>
          <t>valkey-r7g.large</t>
        </is>
      </c>
      <c r="B30" s="13" t="n">
        <v>0.2142</v>
      </c>
      <c r="C30" s="13" t="inlineStr">
        <is>
          <t>hour</t>
        </is>
      </c>
      <c r="D30" s="13" t="inlineStr">
        <is>
          <t>ElastiCache Valkey cache.r7g.large (13.07 GiB)</t>
        </is>
      </c>
      <c r="E30" s="13" t="inlineStr">
        <is>
          <t>AmazonElastiCache 2026-09-14</t>
        </is>
      </c>
    </row>
    <row r="31">
      <c r="A31" s="13" t="inlineStr">
        <is>
          <t>valkey-m7g.large</t>
        </is>
      </c>
      <c r="B31" s="13" t="n">
        <v>0.153</v>
      </c>
      <c r="C31" s="13" t="inlineStr">
        <is>
          <t>hour</t>
        </is>
      </c>
      <c r="D31" s="13" t="inlineStr">
        <is>
          <t>ElastiCache Valkey cache.m7g.large (6.38 GiB)</t>
        </is>
      </c>
      <c r="E31" s="13" t="inlineStr">
        <is>
          <t>AmazonElastiCache 2026-09-14</t>
        </is>
      </c>
    </row>
    <row r="32">
      <c r="A32" s="13" t="inlineStr">
        <is>
          <t>redis-r7g.large</t>
        </is>
      </c>
      <c r="B32" s="13" t="n">
        <v>0.2678</v>
      </c>
      <c r="C32" s="13" t="inlineStr">
        <is>
          <t>hour</t>
        </is>
      </c>
      <c r="D32" s="13" t="inlineStr">
        <is>
          <t>ElastiCache Redis OSS cache.r7g.large</t>
        </is>
      </c>
      <c r="E32" s="13" t="inlineStr">
        <is>
          <t>AmazonElastiCache 2026-09-14</t>
        </is>
      </c>
    </row>
    <row r="33">
      <c r="A33" s="13" t="inlineStr">
        <is>
          <t>mq-rabbit-3x</t>
        </is>
      </c>
      <c r="B33" s="13" t="n">
        <v>1.005</v>
      </c>
      <c r="C33" s="13" t="inlineStr">
        <is>
          <t>hour</t>
        </is>
      </c>
      <c r="D33" s="13" t="inlineStr">
        <is>
          <t>Amazon MQ for RabbitMQ, 3-node cluster mq.m7g.large</t>
        </is>
      </c>
      <c r="E33" s="13" t="inlineStr">
        <is>
          <t>AmazonMQ 2026-09-11</t>
        </is>
      </c>
    </row>
    <row r="34">
      <c r="A34" s="13" t="inlineStr">
        <is>
          <t>mq-storage</t>
        </is>
      </c>
      <c r="B34" s="13" t="n">
        <v>0.121</v>
      </c>
      <c r="C34" s="13" t="inlineStr">
        <is>
          <t>GB-month</t>
        </is>
      </c>
      <c r="D34" s="13" t="inlineStr">
        <is>
          <t>Amazon MQ RabbitMQ storage</t>
        </is>
      </c>
      <c r="E34" s="13" t="inlineStr">
        <is>
          <t>AmazonMQ 2026-09-11</t>
        </is>
      </c>
    </row>
    <row r="35">
      <c r="A35" s="13" t="inlineStr">
        <is>
          <t>s3</t>
        </is>
      </c>
      <c r="B35" s="13" t="n">
        <v>0.025</v>
      </c>
      <c r="C35" s="13" t="inlineStr">
        <is>
          <t>GB-month</t>
        </is>
      </c>
      <c r="D35" s="13" t="inlineStr">
        <is>
          <t>S3 Standard, first 50 TB</t>
        </is>
      </c>
      <c r="E35" s="13" t="inlineStr">
        <is>
          <t>AmazonS3 2026-09-28</t>
        </is>
      </c>
    </row>
    <row r="36">
      <c r="A36" s="13" t="inlineStr">
        <is>
          <t>ecr</t>
        </is>
      </c>
      <c r="B36" s="13" t="n">
        <v>0.1</v>
      </c>
      <c r="C36" s="13" t="inlineStr">
        <is>
          <t>GB-month</t>
        </is>
      </c>
      <c r="D36" s="13" t="inlineStr">
        <is>
          <t>ECR storage</t>
        </is>
      </c>
      <c r="E36" s="13" t="inlineStr">
        <is>
          <t>AmazonECR 2026-09-11</t>
        </is>
      </c>
    </row>
    <row r="37">
      <c r="A37" s="13" t="inlineStr">
        <is>
          <t>secret</t>
        </is>
      </c>
      <c r="B37" s="13" t="n">
        <v>0.4</v>
      </c>
      <c r="C37" s="13" t="inlineStr">
        <is>
          <t>secret-month</t>
        </is>
      </c>
      <c r="D37" s="13" t="inlineStr">
        <is>
          <t>Secrets Manager secret</t>
        </is>
      </c>
      <c r="E37" s="13" t="inlineStr">
        <is>
          <t>AWSSecretsManager 2026-09-11</t>
        </is>
      </c>
    </row>
    <row r="38">
      <c r="A38" s="13" t="inlineStr">
        <is>
          <t>kms-key</t>
        </is>
      </c>
      <c r="B38" s="13" t="n">
        <v>1</v>
      </c>
      <c r="C38" s="13" t="inlineStr">
        <is>
          <t>key-month</t>
        </is>
      </c>
      <c r="D38" s="13" t="inlineStr">
        <is>
          <t>KMS customer managed key</t>
        </is>
      </c>
      <c r="E38" s="13" t="inlineStr">
        <is>
          <t>awskms 2026-09-11</t>
        </is>
      </c>
    </row>
    <row r="39">
      <c r="A39" s="13" t="inlineStr">
        <is>
          <t>cf-gb</t>
        </is>
      </c>
      <c r="B39" s="13" t="n">
        <v>0.11</v>
      </c>
      <c r="C39" s="13" t="inlineStr">
        <is>
          <t>GB</t>
        </is>
      </c>
      <c r="D39" s="13" t="inlineStr">
        <is>
          <t>CloudFront data transfer out, Middle East, first 10 TB</t>
        </is>
      </c>
      <c r="E39" s="13" t="inlineStr">
        <is>
          <t>AmazonCloudFront 2026-10-03</t>
        </is>
      </c>
    </row>
    <row r="40">
      <c r="A40" s="13" t="inlineStr">
        <is>
          <t>cf-req</t>
        </is>
      </c>
      <c r="B40" s="13" t="n">
        <v>0.012</v>
      </c>
      <c r="C40" s="13" t="inlineStr">
        <is>
          <t>10,000 HTTPS requests</t>
        </is>
      </c>
      <c r="D40" s="13" t="inlineStr">
        <is>
          <t>CloudFront HTTPS requests, Middle East</t>
        </is>
      </c>
      <c r="E40" s="13" t="inlineStr">
        <is>
          <t>AmazonCloudFront 2026-10-03</t>
        </is>
      </c>
    </row>
    <row r="41">
      <c r="A41" s="13" t="inlineStr">
        <is>
          <t>waf-acl</t>
        </is>
      </c>
      <c r="B41" s="13" t="n">
        <v>5</v>
      </c>
      <c r="C41" s="13" t="inlineStr">
        <is>
          <t>web ACL-month</t>
        </is>
      </c>
      <c r="D41" s="13" t="inlineStr">
        <is>
          <t>WAF web ACL</t>
        </is>
      </c>
      <c r="E41" s="13" t="inlineStr">
        <is>
          <t>awswaf 2026-09-14</t>
        </is>
      </c>
    </row>
    <row r="42">
      <c r="A42" s="13" t="inlineStr">
        <is>
          <t>waf-rule</t>
        </is>
      </c>
      <c r="B42" s="13" t="n">
        <v>1</v>
      </c>
      <c r="C42" s="13" t="inlineStr">
        <is>
          <t>rule-month</t>
        </is>
      </c>
      <c r="D42" s="13" t="inlineStr">
        <is>
          <t>WAF rule or managed rule group</t>
        </is>
      </c>
      <c r="E42" s="13" t="inlineStr">
        <is>
          <t>awswaf 2026-09-14</t>
        </is>
      </c>
    </row>
    <row r="43">
      <c r="A43" s="13" t="inlineStr">
        <is>
          <t>waf-req</t>
        </is>
      </c>
      <c r="B43" s="13" t="n">
        <v>0.6</v>
      </c>
      <c r="C43" s="13" t="inlineStr">
        <is>
          <t>million requests</t>
        </is>
      </c>
      <c r="D43" s="13" t="inlineStr">
        <is>
          <t>WAF requests</t>
        </is>
      </c>
      <c r="E43" s="13" t="inlineStr">
        <is>
          <t>awswaf 2026-09-14</t>
        </is>
      </c>
    </row>
    <row r="44">
      <c r="A44" s="13" t="inlineStr">
        <is>
          <t>waf-bot</t>
        </is>
      </c>
      <c r="B44" s="13" t="n">
        <v>10</v>
      </c>
      <c r="C44" s="13" t="inlineStr">
        <is>
          <t>month</t>
        </is>
      </c>
      <c r="D44" s="13" t="inlineStr">
        <is>
          <t>WAF Bot Control (common), subscription</t>
        </is>
      </c>
      <c r="E44" s="13" t="inlineStr">
        <is>
          <t>awswaf 2026-09-14</t>
        </is>
      </c>
    </row>
    <row r="45">
      <c r="A45" s="13" t="inlineStr">
        <is>
          <t>waf-bot-req</t>
        </is>
      </c>
      <c r="B45" s="13" t="n">
        <v>1</v>
      </c>
      <c r="C45" s="13" t="inlineStr">
        <is>
          <t>million requests</t>
        </is>
      </c>
      <c r="D45" s="13" t="inlineStr">
        <is>
          <t>WAF Bot Control requests beyond the first 10 million</t>
        </is>
      </c>
      <c r="E45" s="13" t="inlineStr">
        <is>
          <t>awswaf 2026-09-14</t>
        </is>
      </c>
    </row>
    <row r="46">
      <c r="A46" s="13" t="inlineStr">
        <is>
          <t>alb</t>
        </is>
      </c>
      <c r="B46" s="13" t="n">
        <v>0.028224</v>
      </c>
      <c r="C46" s="13" t="inlineStr">
        <is>
          <t>hour</t>
        </is>
      </c>
      <c r="D46" s="13" t="inlineStr">
        <is>
          <t>Application Load Balancer</t>
        </is>
      </c>
      <c r="E46" s="13" t="inlineStr">
        <is>
          <t>AWSELB 2026-09-11</t>
        </is>
      </c>
    </row>
    <row r="47">
      <c r="A47" s="13" t="inlineStr">
        <is>
          <t>alb-lcu</t>
        </is>
      </c>
      <c r="B47" s="13" t="n">
        <v>0.008959999999999999</v>
      </c>
      <c r="C47" s="13" t="inlineStr">
        <is>
          <t>LCU-hour</t>
        </is>
      </c>
      <c r="D47" s="13" t="inlineStr">
        <is>
          <t>Application Load Balancer capacity unit</t>
        </is>
      </c>
      <c r="E47" s="13" t="inlineStr">
        <is>
          <t>AWSELB 2026-09-11</t>
        </is>
      </c>
    </row>
    <row r="48">
      <c r="A48" s="13" t="inlineStr">
        <is>
          <t>egress</t>
        </is>
      </c>
      <c r="B48" s="13" t="n">
        <v>0.117</v>
      </c>
      <c r="C48" s="13" t="inlineStr">
        <is>
          <t>GB</t>
        </is>
      </c>
      <c r="D48" s="13" t="inlineStr">
        <is>
          <t>Data transfer out to the Internet, first 10 TB (the file's description says $0.117, its price column $0.11; the higher is used)</t>
        </is>
      </c>
      <c r="E48" s="13" t="inlineStr">
        <is>
          <t>AWSDataTransfer 2026-09-16</t>
        </is>
      </c>
    </row>
    <row r="49">
      <c r="A49" s="13" t="inlineStr">
        <is>
          <t>to-bahrain</t>
        </is>
      </c>
      <c r="B49" s="13" t="n">
        <v>0.09</v>
      </c>
      <c r="C49" s="13" t="inlineStr">
        <is>
          <t>GB</t>
        </is>
      </c>
      <c r="D49" s="13" t="inlineStr">
        <is>
          <t>Data transfer me-central-1 to me-south-1 (description $0.09, price column $0.085)</t>
        </is>
      </c>
      <c r="E49" s="13" t="inlineStr">
        <is>
          <t>AWSDataTransfer 2026-09-16</t>
        </is>
      </c>
    </row>
    <row r="50">
      <c r="A50" s="13" t="inlineStr">
        <is>
          <t>cw-ingest</t>
        </is>
      </c>
      <c r="B50" s="13" t="n">
        <v>0.63</v>
      </c>
      <c r="C50" s="13" t="inlineStr">
        <is>
          <t>GB</t>
        </is>
      </c>
      <c r="D50" s="13" t="inlineStr">
        <is>
          <t>CloudWatch Logs ingestion, Standard class</t>
        </is>
      </c>
      <c r="E50" s="13" t="inlineStr">
        <is>
          <t>AmazonCloudWatch 2026-09-22</t>
        </is>
      </c>
    </row>
    <row r="51">
      <c r="A51" s="13" t="inlineStr">
        <is>
          <t>cw-store</t>
        </is>
      </c>
      <c r="B51" s="13" t="n">
        <v>0.033</v>
      </c>
      <c r="C51" s="13" t="inlineStr">
        <is>
          <t>GB-month</t>
        </is>
      </c>
      <c r="D51" s="13" t="inlineStr">
        <is>
          <t>CloudWatch Logs storage</t>
        </is>
      </c>
      <c r="E51" s="13" t="inlineStr">
        <is>
          <t>AmazonCloudWatch 2026-09-22</t>
        </is>
      </c>
    </row>
    <row r="52">
      <c r="A52" s="13" t="inlineStr">
        <is>
          <t>cw-metric</t>
        </is>
      </c>
      <c r="B52" s="13" t="n">
        <v>0.3</v>
      </c>
      <c r="C52" s="13" t="inlineStr">
        <is>
          <t>metric-month</t>
        </is>
      </c>
      <c r="D52" s="13" t="inlineStr">
        <is>
          <t>CloudWatch custom metric, first 10,000</t>
        </is>
      </c>
      <c r="E52" s="13" t="inlineStr">
        <is>
          <t>AmazonCloudWatch 2026-09-22</t>
        </is>
      </c>
    </row>
    <row r="53">
      <c r="A53" s="13" t="inlineStr">
        <is>
          <t>gd-eks</t>
        </is>
      </c>
      <c r="B53" s="13" t="n">
        <v>1.58</v>
      </c>
      <c r="C53" s="13" t="inlineStr">
        <is>
          <t>vCPU-month</t>
        </is>
      </c>
      <c r="D53" s="13" t="inlineStr">
        <is>
          <t>GuardDuty EKS Runtime Monitoring, first 500 vCPU</t>
        </is>
      </c>
      <c r="E53" s="13" t="inlineStr">
        <is>
          <t>AmazonGuardDuty 2026-09-17</t>
        </is>
      </c>
    </row>
    <row r="54">
      <c r="A54" s="13" t="inlineStr">
        <is>
          <t>gd-rds</t>
        </is>
      </c>
      <c r="B54" s="13" t="n">
        <v>1.03</v>
      </c>
      <c r="C54" s="13" t="inlineStr">
        <is>
          <t>vCPU-month</t>
        </is>
      </c>
      <c r="D54" s="13" t="inlineStr">
        <is>
          <t>GuardDuty RDS Protection</t>
        </is>
      </c>
      <c r="E54" s="13" t="inlineStr">
        <is>
          <t>AmazonGuardDuty 2026-09-17</t>
        </is>
      </c>
    </row>
    <row r="55">
      <c r="A55" s="13" t="inlineStr">
        <is>
          <t>gd-logs</t>
        </is>
      </c>
      <c r="B55" s="13" t="n">
        <v>1.25</v>
      </c>
      <c r="C55" s="13" t="inlineStr">
        <is>
          <t>GB</t>
        </is>
      </c>
      <c r="D55" s="13" t="inlineStr">
        <is>
          <t>GuardDuty VPC flow and DNS log analysis, first 500 GB</t>
        </is>
      </c>
      <c r="E55" s="13" t="inlineStr">
        <is>
          <t>AmazonGuardDuty 2026-09-17</t>
        </is>
      </c>
    </row>
    <row r="56">
      <c r="A56" s="13" t="inlineStr">
        <is>
          <t>gd-trail</t>
        </is>
      </c>
      <c r="B56" s="13" t="n">
        <v>5</v>
      </c>
      <c r="C56" s="13" t="inlineStr">
        <is>
          <t>million events</t>
        </is>
      </c>
      <c r="D56" s="13" t="inlineStr">
        <is>
          <t>GuardDuty CloudTrail event analysis</t>
        </is>
      </c>
      <c r="E56" s="13" t="inlineStr">
        <is>
          <t>AmazonGuardDuty 2026-09-17</t>
        </is>
      </c>
    </row>
    <row r="57">
      <c r="A57" s="13" t="inlineStr">
        <is>
          <t>insp-ec2</t>
        </is>
      </c>
      <c r="B57" s="13" t="n">
        <v>0.0021</v>
      </c>
      <c r="C57" s="13" t="inlineStr">
        <is>
          <t>instance-hour</t>
        </is>
      </c>
      <c r="D57" s="13" t="inlineStr">
        <is>
          <t>Inspector EC2 scanning</t>
        </is>
      </c>
      <c r="E57" s="13" t="inlineStr">
        <is>
          <t>AmazonInspectorV2 2026-09-11</t>
        </is>
      </c>
    </row>
    <row r="58">
      <c r="A58" s="13" t="inlineStr">
        <is>
          <t>sh-ec2</t>
        </is>
      </c>
      <c r="B58" s="13" t="n">
        <v>0.0056944</v>
      </c>
      <c r="C58" s="13" t="inlineStr">
        <is>
          <t>instance-hour</t>
        </is>
      </c>
      <c r="D58" s="13" t="inlineStr">
        <is>
          <t>Security Hub Essentials, per EC2 instance</t>
        </is>
      </c>
      <c r="E58" s="13" t="inlineStr">
        <is>
          <t>AWSSecurityHub 2026-09-30</t>
        </is>
      </c>
    </row>
    <row r="59">
      <c r="A59" s="13" t="n"/>
      <c r="B59" s="13" t="n"/>
      <c r="C59" s="13" t="n"/>
      <c r="D59" s="13" t="n"/>
      <c r="E59" s="13" t="n"/>
    </row>
    <row r="60">
      <c r="A60" s="13" t="inlineStr">
        <is>
          <t>To confirm</t>
        </is>
      </c>
      <c r="B60" s="13" t="inlineStr"/>
      <c r="C60" s="13" t="inlineStr"/>
      <c r="D60" s="13" t="inlineStr">
        <is>
          <t>g6 capacity in each of me-central-1's three AZs (the Price List API lists g6.2xlarge for the region, not per AZ); whether a Regional NAT Gateway presents one egress IP for all three AZs (priced here as three zonal gateways, three IPs to allow-list); CloudFront VPC origins and Systems Manager Session Manager: no charge line in the price list files; AWS WAF on CloudFront is a global web ACL: the me-central-1 WAF rates are used, to check against the bill; S3 and ECR requests, KMS and Secrets Manager API calls, RDS backup beyond the free allocation: usage, not priced; CloudAMQP on AWS me-central-1 (the broker the client may take; on Azure it is in UAE North); Aurora I/O volume (Aurora is not chosen; its I/O cost is unknown until the load test); Volumes behind usage lines (logs, metrics, LCUs, GuardDuty data, requests): assumptions, as on the Azure sheets</t>
        </is>
      </c>
      <c r="E60" s="13" t="inlineStr">
        <is>
          <t>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9"/>
  <sheetViews>
    <sheetView workbookViewId="0">
      <pane ySplit="6" topLeftCell="A7" activePane="bottomLeft" state="frozen"/>
      <selection pane="bottomLeft" activeCell="A1" sqref="A1"/>
    </sheetView>
  </sheetViews>
  <sheetFormatPr baseColWidth="8" defaultRowHeight="15"/>
  <cols>
    <col width="44" customWidth="1" min="1" max="1"/>
    <col width="18" customWidth="1" min="2" max="2"/>
    <col width="18" customWidth="1" min="3" max="3"/>
    <col width="16" customWidth="1" min="4" max="4"/>
    <col width="14" customWidth="1" min="5" max="5"/>
    <col width="16" customWidth="1" min="6" max="6"/>
    <col width="16" customWidth="1" min="7" max="7"/>
    <col width="20" customWidth="1" min="8" max="8"/>
  </cols>
  <sheetData>
    <row r="1">
      <c r="A1" s="1" t="inlineStr">
        <is>
          <t>TICVAI - Azure UAE North against AWS me-central-1 (USD a month, production unless said)</t>
        </is>
      </c>
    </row>
    <row r="3">
      <c r="B3" t="inlineStr">
        <is>
          <t>AED per USD</t>
        </is>
      </c>
      <c r="C3" t="n">
        <v>3.6725</v>
      </c>
      <c r="D3" t="inlineStr">
        <is>
          <t>Edit the rate, the margin and any unit price; every total is a formula.</t>
        </is>
      </c>
    </row>
    <row r="4">
      <c r="B4" t="inlineStr">
        <is>
          <t>Margin</t>
        </is>
      </c>
      <c r="C4" s="2" t="n">
        <v>0.2</v>
      </c>
      <c r="D4" t="inlineStr">
        <is>
          <t>Azure: Azure Retail Prices API (prices.azure.com), region uaenorth, pay as you go, 730 hours a month, pulled 30 September 2026; vendor prices (CloudAMQP, Confluent) from the vendors' pages the same day. Working: docs/active/infra-answers-30-september.md, section 4b. AWS: AWS Price List API, public bulk offer files (pricing.us-east-1.amazonaws.com/offers/v1.0/aws/&lt;service&gt;/current/me-central-1/index.json; CloudFront's global file), region me-central-1 (Middle East, UAE), on demand, Linux, 730 hours a month, pulled 4 October 2026 (files published 11 September to 3 October 2026; each rate names its file and date in AWS_RATE).</t>
        </is>
      </c>
    </row>
    <row r="6">
      <c r="A6" s="3" t="inlineStr">
        <is>
          <t>Line</t>
        </is>
      </c>
      <c r="B6" s="3" t="inlineStr">
        <is>
          <t>Azure UAE North (USD / month)</t>
        </is>
      </c>
      <c r="C6" s="3" t="inlineStr">
        <is>
          <t>AWS me-central-1 (USD / month)</t>
        </is>
      </c>
      <c r="D6" s="3" t="inlineStr">
        <is>
          <t>AWS - Azure (USD)</t>
        </is>
      </c>
      <c r="E6" s="3" t="inlineStr">
        <is>
          <t>AWS against Azure</t>
        </is>
      </c>
      <c r="F6" s="3" t="inlineStr">
        <is>
          <t>Azure (AED / month)</t>
        </is>
      </c>
      <c r="G6" s="3" t="inlineStr">
        <is>
          <t>AWS (AED / month)</t>
        </is>
      </c>
      <c r="H6" s="3" t="inlineStr">
        <is>
          <t>AWS (AED a year with margin)</t>
        </is>
      </c>
    </row>
    <row r="7">
      <c r="A7" s="16" t="inlineStr">
        <is>
          <t>Stage 1 production (launch)</t>
        </is>
      </c>
      <c r="B7" s="16" t="n">
        <v>2254.47</v>
      </c>
      <c r="C7" s="16">
        <f>'Stages'!I27</f>
        <v/>
      </c>
      <c r="D7" s="16">
        <f>C7-B7</f>
        <v/>
      </c>
      <c r="E7" s="17">
        <f>C7/B7-1</f>
        <v/>
      </c>
      <c r="F7" s="16">
        <f>B7*$C$3</f>
        <v/>
      </c>
      <c r="G7" s="16">
        <f>C7*$C$3</f>
        <v/>
      </c>
      <c r="H7" s="16">
        <f>G7*12*(1+$C$4)</f>
        <v/>
      </c>
    </row>
    <row r="8">
      <c r="A8" s="16" t="inlineStr">
        <is>
          <t>Stage 1 pre-production</t>
        </is>
      </c>
      <c r="B8" s="16" t="n">
        <v>566</v>
      </c>
      <c r="C8" s="16">
        <f>'Stages'!I47</f>
        <v/>
      </c>
      <c r="D8" s="16">
        <f>C8-B8</f>
        <v/>
      </c>
      <c r="E8" s="17">
        <f>C8/B8-1</f>
        <v/>
      </c>
      <c r="F8" s="16">
        <f>B8*$C$3</f>
        <v/>
      </c>
      <c r="G8" s="16">
        <f>C8*$C$3</f>
        <v/>
      </c>
      <c r="H8" s="16">
        <f>G8*12*(1+$C$4)</f>
        <v/>
      </c>
    </row>
    <row r="9">
      <c r="A9" s="16" t="inlineStr">
        <is>
          <t>Stage 1 in all</t>
        </is>
      </c>
      <c r="B9" s="16" t="n">
        <v>2820.47</v>
      </c>
      <c r="C9" s="16">
        <f>C7+C8</f>
        <v/>
      </c>
      <c r="D9" s="16">
        <f>C9-B9</f>
        <v/>
      </c>
      <c r="E9" s="17">
        <f>C9/B9-1</f>
        <v/>
      </c>
      <c r="F9" s="16">
        <f>B9*$C$3</f>
        <v/>
      </c>
      <c r="G9" s="16">
        <f>C9*$C$3</f>
        <v/>
      </c>
      <c r="H9" s="16">
        <f>G9*12*(1+$C$4)</f>
        <v/>
      </c>
    </row>
    <row r="10">
      <c r="A10" s="16" t="inlineStr">
        <is>
          <t>Full cell (Stage 2) without zone-level HA</t>
        </is>
      </c>
      <c r="B10" s="16" t="n">
        <v>5327.27</v>
      </c>
      <c r="C10" s="16">
        <f>'Infra without HA'!I37</f>
        <v/>
      </c>
      <c r="D10" s="16">
        <f>C10-B10</f>
        <v/>
      </c>
      <c r="E10" s="17">
        <f>C10/B10-1</f>
        <v/>
      </c>
      <c r="F10" s="16">
        <f>B10*$C$3</f>
        <v/>
      </c>
      <c r="G10" s="16">
        <f>C10*$C$3</f>
        <v/>
      </c>
      <c r="H10" s="16">
        <f>G10*12*(1+$C$4)</f>
        <v/>
      </c>
    </row>
    <row r="11">
      <c r="A11" s="16" t="inlineStr">
        <is>
          <t>Full cell (Stage 2) with high availability</t>
        </is>
      </c>
      <c r="B11" s="16" t="n">
        <v>8295.040000000001</v>
      </c>
      <c r="C11" s="16">
        <f>'Infra with High Availability'!I37</f>
        <v/>
      </c>
      <c r="D11" s="16">
        <f>C11-B11</f>
        <v/>
      </c>
      <c r="E11" s="17">
        <f>C11/B11-1</f>
        <v/>
      </c>
      <c r="F11" s="16">
        <f>B11*$C$3</f>
        <v/>
      </c>
      <c r="G11" s="16">
        <f>C11*$C$3</f>
        <v/>
      </c>
      <c r="H11" s="16">
        <f>G11*12*(1+$C$4)</f>
        <v/>
      </c>
    </row>
    <row r="12">
      <c r="A12" s="16" t="inlineStr">
        <is>
          <t>Pre-production beside the full cell</t>
        </is>
      </c>
      <c r="B12" s="16" t="n">
        <v>1535.5</v>
      </c>
      <c r="C12" s="16">
        <f>'Infra with High Availability'!I69</f>
        <v/>
      </c>
      <c r="D12" s="16">
        <f>C12-B12</f>
        <v/>
      </c>
      <c r="E12" s="17">
        <f>C12/B12-1</f>
        <v/>
      </c>
      <c r="F12" s="16">
        <f>B12*$C$3</f>
        <v/>
      </c>
      <c r="G12" s="16">
        <f>C12*$C$3</f>
        <v/>
      </c>
      <c r="H12" s="16">
        <f>G12*12*(1+$C$4)</f>
        <v/>
      </c>
    </row>
    <row r="13">
      <c r="A13" s="16" t="inlineStr">
        <is>
          <t>Stage 0 (reference only)</t>
        </is>
      </c>
      <c r="B13" s="16" t="n">
        <v>1161.43</v>
      </c>
      <c r="C13" s="16">
        <f>'Stages'!I58</f>
        <v/>
      </c>
      <c r="D13" s="16">
        <f>C13-B13</f>
        <v/>
      </c>
      <c r="E13" s="17">
        <f>C13/B13-1</f>
        <v/>
      </c>
      <c r="F13" s="16">
        <f>B13*$C$3</f>
        <v/>
      </c>
      <c r="G13" s="16">
        <f>C13*$C$3</f>
        <v/>
      </c>
      <c r="H13" s="16">
        <f>G13*12*(1+$C$4)</f>
        <v/>
      </c>
    </row>
    <row r="15">
      <c r="A15" s="12" t="inlineStr">
        <is>
          <t>Notes</t>
        </is>
      </c>
    </row>
    <row r="16" ht="45" customHeight="1">
      <c r="A16" s="13" t="inlineStr">
        <is>
          <t>The same cell on both clouds, service for service (TICVAI-LLD-AWS.md has the mapping). The AWS column is a formula on this workbook's sheets, so it follows any unit price edited there; the Azure column is the Azure workbook's totals as generated on 4 October 2026.</t>
        </is>
      </c>
    </row>
    <row r="17" ht="45" customHeight="1">
      <c r="A17" s="13" t="inlineStr">
        <is>
          <t>Where AWS costs more: the EKS control plane at every stage (no free tier), the GPU node (a whole L4 with 24 GB against Azure's 4 GB A10 slice), three NAT Gateways for HA, EBS root volumes on every node, PrivateLink endpoints per AZ. Where it costs less: the edge (CloudFront + WAF against Front Door Premium), the security tooling (GuardDuty, Inspector, Security Hub against Defender for Cloud), Bastion (Session Manager has no charge line), the cache and the read replicas.</t>
        </is>
      </c>
    </row>
    <row r="18" ht="45" customHeight="1">
      <c r="A18" s="13" t="inlineStr">
        <is>
          <t>Disaster recovery is not in either column: Azure's DR module (UAE Central) is bought per tenant, and on AWS DR is open (one AWS region in the UAE; see TICVAI-LLD-AWS.md).</t>
        </is>
      </c>
    </row>
    <row r="19" ht="45" customHeight="1">
      <c r="A19" s="13" t="inlineStr">
        <is>
          <t>On-demand list prices on both sides; reserved capacity or savings plans move both by a similar 30-60% on compute.</t>
        </is>
      </c>
    </row>
  </sheetData>
  <mergeCells count="4">
    <mergeCell ref="A18:H18"/>
    <mergeCell ref="A19:H19"/>
    <mergeCell ref="A16:H16"/>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2026-10-06T16:32:36Z</dcterms:created>
  <dcterms:modified xmlns:dcterms="http://purl.org/dc/terms/" xmlns:xsi="http://www.w3.org/2001/XMLSchema-instance" xsi:type="dcterms:W3CDTF">2026-10-06T16:32:36Z</dcterms:modified>
</cp:coreProperties>
</file>